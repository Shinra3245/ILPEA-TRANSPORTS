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ordinador TP\Downloads\"/>
    </mc:Choice>
  </mc:AlternateContent>
  <xr:revisionPtr revIDLastSave="0" documentId="13_ncr:1_{7A81BEA6-A82F-4AC1-AC77-B9958B9A47EA}" xr6:coauthVersionLast="47" xr6:coauthVersionMax="47" xr10:uidLastSave="{00000000-0000-0000-0000-000000000000}"/>
  <bookViews>
    <workbookView xWindow="-108" yWindow="-108" windowWidth="23256" windowHeight="12456" tabRatio="647" firstSheet="2" activeTab="3" xr2:uid="{00000000-000D-0000-FFFF-FFFF00000000}"/>
  </bookViews>
  <sheets>
    <sheet name="Gráfico1" sheetId="157" state="hidden" r:id="rId1"/>
    <sheet name="Hoja1" sheetId="158" state="hidden" r:id="rId2"/>
    <sheet name="Paradas Ilpea" sheetId="156" r:id="rId3"/>
    <sheet name="Aforos Ilpea" sheetId="155" r:id="rId4"/>
    <sheet name="Rutas Adm" sheetId="159" r:id="rId5"/>
  </sheets>
  <definedNames>
    <definedName name="_xlnm._FilterDatabase" localSheetId="3" hidden="1">'Aforos Ilpea'!$A$4:$E$14</definedName>
    <definedName name="_xlnm._FilterDatabase" localSheetId="2" hidden="1">'Paradas Ilpea'!$A$4:$B$101</definedName>
    <definedName name="UNIDA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D8" i="155" l="1"/>
  <c r="BE8" i="155" s="1"/>
  <c r="BB8" i="155"/>
  <c r="BC8" i="155" s="1"/>
  <c r="AZ8" i="155"/>
  <c r="AX8" i="155"/>
  <c r="AY8" i="155" s="1"/>
  <c r="AV8" i="155"/>
  <c r="AT8" i="155"/>
  <c r="AR8" i="155"/>
  <c r="AP8" i="155"/>
  <c r="AN8" i="155"/>
  <c r="AL8" i="155"/>
  <c r="AJ8" i="155"/>
  <c r="AH8" i="155"/>
  <c r="AI8" i="155" s="1"/>
  <c r="AF8" i="155"/>
  <c r="AD8" i="155"/>
  <c r="AB8" i="155"/>
  <c r="Z8" i="155"/>
  <c r="AA8" i="155" s="1"/>
  <c r="X8" i="155"/>
  <c r="V8" i="155"/>
  <c r="T8" i="155"/>
  <c r="R8" i="155"/>
  <c r="P8" i="155"/>
  <c r="N8" i="155"/>
  <c r="L8" i="155"/>
  <c r="J8" i="155"/>
  <c r="K8" i="155" s="1"/>
  <c r="H8" i="155"/>
  <c r="F8" i="155"/>
  <c r="C11" i="159"/>
  <c r="C12" i="159" s="1"/>
  <c r="D12" i="159"/>
  <c r="H11" i="159"/>
  <c r="G11" i="159"/>
  <c r="G12" i="159" s="1"/>
  <c r="F11" i="159"/>
  <c r="F12" i="159" s="1"/>
  <c r="E11" i="159"/>
  <c r="E12" i="159" s="1"/>
  <c r="C40" i="159"/>
  <c r="AH7" i="155"/>
  <c r="AI7" i="155" s="1"/>
  <c r="AH9" i="155"/>
  <c r="AI9" i="155" s="1"/>
  <c r="AH10" i="155"/>
  <c r="AI10" i="155" s="1"/>
  <c r="AH11" i="155"/>
  <c r="AI11" i="155" s="1"/>
  <c r="AH12" i="155"/>
  <c r="AI12" i="155" s="1"/>
  <c r="AH13" i="155"/>
  <c r="AI13" i="155" s="1"/>
  <c r="AH14" i="155"/>
  <c r="AI14" i="155" s="1"/>
  <c r="AH15" i="155"/>
  <c r="AI15" i="155" s="1"/>
  <c r="AH16" i="155"/>
  <c r="AI16" i="155" s="1"/>
  <c r="AX7" i="155"/>
  <c r="AY7" i="155" s="1"/>
  <c r="AZ7" i="155"/>
  <c r="BA7" i="155" s="1"/>
  <c r="BB7" i="155"/>
  <c r="BC7" i="155" s="1"/>
  <c r="BD7" i="155"/>
  <c r="BE7" i="155" s="1"/>
  <c r="BA8" i="155"/>
  <c r="AX9" i="155"/>
  <c r="AY9" i="155" s="1"/>
  <c r="AZ9" i="155"/>
  <c r="BA9" i="155" s="1"/>
  <c r="BB9" i="155"/>
  <c r="BC9" i="155" s="1"/>
  <c r="BD9" i="155"/>
  <c r="BE9" i="155" s="1"/>
  <c r="AX10" i="155"/>
  <c r="AY10" i="155" s="1"/>
  <c r="AZ10" i="155"/>
  <c r="BA10" i="155" s="1"/>
  <c r="BB10" i="155"/>
  <c r="BC10" i="155" s="1"/>
  <c r="BD10" i="155"/>
  <c r="BE10" i="155" s="1"/>
  <c r="AX11" i="155"/>
  <c r="AY11" i="155" s="1"/>
  <c r="AZ11" i="155"/>
  <c r="BA11" i="155" s="1"/>
  <c r="BB11" i="155"/>
  <c r="BC11" i="155" s="1"/>
  <c r="BD11" i="155"/>
  <c r="BE11" i="155" s="1"/>
  <c r="AX12" i="155"/>
  <c r="AY12" i="155" s="1"/>
  <c r="AZ12" i="155"/>
  <c r="BA12" i="155" s="1"/>
  <c r="BB12" i="155"/>
  <c r="BC12" i="155" s="1"/>
  <c r="BD12" i="155"/>
  <c r="BE12" i="155" s="1"/>
  <c r="AX13" i="155"/>
  <c r="AY13" i="155" s="1"/>
  <c r="AZ13" i="155"/>
  <c r="BA13" i="155" s="1"/>
  <c r="BB13" i="155"/>
  <c r="BC13" i="155" s="1"/>
  <c r="BD13" i="155"/>
  <c r="BE13" i="155" s="1"/>
  <c r="AX14" i="155"/>
  <c r="AY14" i="155" s="1"/>
  <c r="AZ14" i="155"/>
  <c r="BA14" i="155" s="1"/>
  <c r="BB14" i="155"/>
  <c r="BC14" i="155" s="1"/>
  <c r="BD14" i="155"/>
  <c r="BE14" i="155" s="1"/>
  <c r="AX15" i="155"/>
  <c r="AY15" i="155" s="1"/>
  <c r="AZ15" i="155"/>
  <c r="BA15" i="155" s="1"/>
  <c r="BB15" i="155"/>
  <c r="BC15" i="155" s="1"/>
  <c r="BD15" i="155"/>
  <c r="BE15" i="155" s="1"/>
  <c r="AX16" i="155"/>
  <c r="AY16" i="155" s="1"/>
  <c r="AZ16" i="155"/>
  <c r="BA16" i="155" s="1"/>
  <c r="BB16" i="155"/>
  <c r="BC16" i="155" s="1"/>
  <c r="BD16" i="155"/>
  <c r="BE16" i="155" s="1"/>
  <c r="J7" i="155"/>
  <c r="K7" i="155" s="1"/>
  <c r="J9" i="155"/>
  <c r="K9" i="155" s="1"/>
  <c r="J10" i="155"/>
  <c r="K10" i="155" s="1"/>
  <c r="J11" i="155"/>
  <c r="K11" i="155" s="1"/>
  <c r="J12" i="155"/>
  <c r="K12" i="155" s="1"/>
  <c r="J13" i="155"/>
  <c r="K13" i="155" s="1"/>
  <c r="J14" i="155"/>
  <c r="K14" i="155" s="1"/>
  <c r="J15" i="155"/>
  <c r="K15" i="155" s="1"/>
  <c r="J16" i="155"/>
  <c r="K16" i="155" s="1"/>
  <c r="R7" i="155"/>
  <c r="R9" i="155"/>
  <c r="R10" i="155"/>
  <c r="R11" i="155"/>
  <c r="R12" i="155"/>
  <c r="R13" i="155"/>
  <c r="R14" i="155"/>
  <c r="R15" i="155"/>
  <c r="R16" i="155"/>
  <c r="S16" i="155" s="1"/>
  <c r="Z7" i="155"/>
  <c r="AA7" i="155" s="1"/>
  <c r="Z9" i="155"/>
  <c r="AA9" i="155" s="1"/>
  <c r="Z10" i="155"/>
  <c r="AA10" i="155" s="1"/>
  <c r="Z11" i="155"/>
  <c r="AA11" i="155" s="1"/>
  <c r="Z12" i="155"/>
  <c r="AA12" i="155" s="1"/>
  <c r="Z13" i="155"/>
  <c r="AA13" i="155" s="1"/>
  <c r="Z14" i="155"/>
  <c r="AA14" i="155" s="1"/>
  <c r="Z15" i="155"/>
  <c r="AA15" i="155" s="1"/>
  <c r="Z16" i="155"/>
  <c r="AA16" i="155" s="1"/>
  <c r="AP7" i="155"/>
  <c r="AP9" i="155"/>
  <c r="AP10" i="155"/>
  <c r="AP11" i="155"/>
  <c r="AP12" i="155"/>
  <c r="AP13" i="155"/>
  <c r="AP14" i="155"/>
  <c r="AP15" i="155"/>
  <c r="AP16" i="155"/>
  <c r="AQ16" i="155" s="1"/>
  <c r="AV16" i="155"/>
  <c r="AW16" i="155" s="1"/>
  <c r="AT16" i="155"/>
  <c r="AU16" i="155" s="1"/>
  <c r="AR16" i="155"/>
  <c r="AS16" i="155" s="1"/>
  <c r="AN16" i="155"/>
  <c r="AO16" i="155" s="1"/>
  <c r="AL16" i="155"/>
  <c r="AM16" i="155" s="1"/>
  <c r="AJ16" i="155"/>
  <c r="AK16" i="155" s="1"/>
  <c r="AF16" i="155"/>
  <c r="AG16" i="155" s="1"/>
  <c r="AD16" i="155"/>
  <c r="AE16" i="155" s="1"/>
  <c r="AB16" i="155"/>
  <c r="AC16" i="155" s="1"/>
  <c r="X16" i="155"/>
  <c r="Y16" i="155" s="1"/>
  <c r="V16" i="155"/>
  <c r="W16" i="155" s="1"/>
  <c r="T16" i="155"/>
  <c r="U16" i="155" s="1"/>
  <c r="P16" i="155"/>
  <c r="Q16" i="155" s="1"/>
  <c r="N16" i="155"/>
  <c r="O16" i="155" s="1"/>
  <c r="L16" i="155"/>
  <c r="H16" i="155"/>
  <c r="I16" i="155" s="1"/>
  <c r="F16" i="155"/>
  <c r="AV15" i="155"/>
  <c r="AW15" i="155" s="1"/>
  <c r="AT15" i="155"/>
  <c r="AR15" i="155"/>
  <c r="AN15" i="155"/>
  <c r="AO15" i="155" s="1"/>
  <c r="AL15" i="155"/>
  <c r="AJ15" i="155"/>
  <c r="AF15" i="155"/>
  <c r="AG15" i="155" s="1"/>
  <c r="AD15" i="155"/>
  <c r="AB15" i="155"/>
  <c r="X15" i="155"/>
  <c r="Y15" i="155" s="1"/>
  <c r="V15" i="155"/>
  <c r="T15" i="155"/>
  <c r="P15" i="155"/>
  <c r="Q15" i="155" s="1"/>
  <c r="N15" i="155"/>
  <c r="L15" i="155"/>
  <c r="H15" i="155"/>
  <c r="I15" i="155" s="1"/>
  <c r="F15" i="155"/>
  <c r="AV14" i="155"/>
  <c r="AW14" i="155" s="1"/>
  <c r="AT14" i="155"/>
  <c r="AR14" i="155"/>
  <c r="AN14" i="155"/>
  <c r="AO14" i="155" s="1"/>
  <c r="AL14" i="155"/>
  <c r="AJ14" i="155"/>
  <c r="AF14" i="155"/>
  <c r="AG14" i="155" s="1"/>
  <c r="AD14" i="155"/>
  <c r="AB14" i="155"/>
  <c r="X14" i="155"/>
  <c r="Y14" i="155" s="1"/>
  <c r="V14" i="155"/>
  <c r="T14" i="155"/>
  <c r="P14" i="155"/>
  <c r="Q14" i="155" s="1"/>
  <c r="N14" i="155"/>
  <c r="L14" i="155"/>
  <c r="H14" i="155"/>
  <c r="I14" i="155" s="1"/>
  <c r="F14" i="155"/>
  <c r="F13" i="155"/>
  <c r="H13" i="155"/>
  <c r="I13" i="155" s="1"/>
  <c r="L13" i="155"/>
  <c r="N13" i="155"/>
  <c r="P13" i="155"/>
  <c r="Q13" i="155" s="1"/>
  <c r="T13" i="155"/>
  <c r="V13" i="155"/>
  <c r="X13" i="155"/>
  <c r="Y13" i="155" s="1"/>
  <c r="AB13" i="155"/>
  <c r="AD13" i="155"/>
  <c r="AF13" i="155"/>
  <c r="AG13" i="155" s="1"/>
  <c r="AJ13" i="155"/>
  <c r="AL13" i="155"/>
  <c r="AN13" i="155"/>
  <c r="AO13" i="155" s="1"/>
  <c r="AR13" i="155"/>
  <c r="AT13" i="155"/>
  <c r="AV13" i="155"/>
  <c r="AW13" i="155" s="1"/>
  <c r="AV12" i="155"/>
  <c r="AW12" i="155" s="1"/>
  <c r="AT12" i="155"/>
  <c r="AR12" i="155"/>
  <c r="AN12" i="155"/>
  <c r="AO12" i="155" s="1"/>
  <c r="AL12" i="155"/>
  <c r="AJ12" i="155"/>
  <c r="AF12" i="155"/>
  <c r="AG12" i="155" s="1"/>
  <c r="AD12" i="155"/>
  <c r="AB12" i="155"/>
  <c r="X12" i="155"/>
  <c r="Y12" i="155" s="1"/>
  <c r="V12" i="155"/>
  <c r="T12" i="155"/>
  <c r="P12" i="155"/>
  <c r="Q12" i="155" s="1"/>
  <c r="N12" i="155"/>
  <c r="L12" i="155"/>
  <c r="H12" i="155"/>
  <c r="I12" i="155" s="1"/>
  <c r="F12" i="155"/>
  <c r="AV11" i="155"/>
  <c r="AW11" i="155" s="1"/>
  <c r="AT11" i="155"/>
  <c r="AR11" i="155"/>
  <c r="AN11" i="155"/>
  <c r="AO11" i="155" s="1"/>
  <c r="AL11" i="155"/>
  <c r="AJ11" i="155"/>
  <c r="AF11" i="155"/>
  <c r="AG11" i="155" s="1"/>
  <c r="AD11" i="155"/>
  <c r="AB11" i="155"/>
  <c r="X11" i="155"/>
  <c r="Y11" i="155" s="1"/>
  <c r="V11" i="155"/>
  <c r="T11" i="155"/>
  <c r="P11" i="155"/>
  <c r="Q11" i="155" s="1"/>
  <c r="N11" i="155"/>
  <c r="L11" i="155"/>
  <c r="H11" i="155"/>
  <c r="I11" i="155" s="1"/>
  <c r="F11" i="155"/>
  <c r="AV10" i="155"/>
  <c r="AW10" i="155" s="1"/>
  <c r="AT10" i="155"/>
  <c r="AR10" i="155"/>
  <c r="AN10" i="155"/>
  <c r="AO10" i="155" s="1"/>
  <c r="AL10" i="155"/>
  <c r="AJ10" i="155"/>
  <c r="AF10" i="155"/>
  <c r="AG10" i="155" s="1"/>
  <c r="AD10" i="155"/>
  <c r="AB10" i="155"/>
  <c r="X10" i="155"/>
  <c r="Y10" i="155" s="1"/>
  <c r="V10" i="155"/>
  <c r="T10" i="155"/>
  <c r="P10" i="155"/>
  <c r="Q10" i="155" s="1"/>
  <c r="N10" i="155"/>
  <c r="L10" i="155"/>
  <c r="H10" i="155"/>
  <c r="I10" i="155" s="1"/>
  <c r="F10" i="155"/>
  <c r="AV9" i="155"/>
  <c r="AW9" i="155" s="1"/>
  <c r="AT9" i="155"/>
  <c r="AR9" i="155"/>
  <c r="AN9" i="155"/>
  <c r="AO9" i="155" s="1"/>
  <c r="AL9" i="155"/>
  <c r="AJ9" i="155"/>
  <c r="AF9" i="155"/>
  <c r="AG9" i="155" s="1"/>
  <c r="AD9" i="155"/>
  <c r="AB9" i="155"/>
  <c r="X9" i="155"/>
  <c r="Y9" i="155" s="1"/>
  <c r="V9" i="155"/>
  <c r="T9" i="155"/>
  <c r="P9" i="155"/>
  <c r="Q9" i="155" s="1"/>
  <c r="N9" i="155"/>
  <c r="L9" i="155"/>
  <c r="H9" i="155"/>
  <c r="I9" i="155" s="1"/>
  <c r="F9" i="155"/>
  <c r="BF11" i="155" l="1"/>
  <c r="BF12" i="155"/>
  <c r="BF15" i="155"/>
  <c r="BF10" i="155"/>
  <c r="BF9" i="155"/>
  <c r="BF14" i="155"/>
  <c r="BF13" i="155"/>
  <c r="BF16" i="155"/>
  <c r="M16" i="155"/>
  <c r="G16" i="155"/>
  <c r="BG16" i="155" l="1"/>
  <c r="AW8" i="155"/>
  <c r="AU8" i="155"/>
  <c r="AS8" i="155"/>
  <c r="AO8" i="155"/>
  <c r="AK8" i="155"/>
  <c r="AG8" i="155"/>
  <c r="AE8" i="155"/>
  <c r="AC8" i="155"/>
  <c r="Y8" i="155"/>
  <c r="W8" i="155"/>
  <c r="U8" i="155"/>
  <c r="Q8" i="155"/>
  <c r="O8" i="155"/>
  <c r="M8" i="155"/>
  <c r="G10" i="155"/>
  <c r="G13" i="155"/>
  <c r="G15" i="155"/>
  <c r="S15" i="155"/>
  <c r="M9" i="155"/>
  <c r="M10" i="155"/>
  <c r="M11" i="155"/>
  <c r="M12" i="155"/>
  <c r="M13" i="155"/>
  <c r="M14" i="155"/>
  <c r="M15" i="155"/>
  <c r="O11" i="155"/>
  <c r="O12" i="155"/>
  <c r="O13" i="155"/>
  <c r="O14" i="155"/>
  <c r="O15" i="155"/>
  <c r="U10" i="155"/>
  <c r="U11" i="155"/>
  <c r="U12" i="155"/>
  <c r="U14" i="155"/>
  <c r="U15" i="155"/>
  <c r="W11" i="155"/>
  <c r="W13" i="155"/>
  <c r="W14" i="155"/>
  <c r="W15" i="155"/>
  <c r="AC9" i="155"/>
  <c r="AC10" i="155"/>
  <c r="AC11" i="155"/>
  <c r="AC12" i="155"/>
  <c r="AC13" i="155"/>
  <c r="AC14" i="155"/>
  <c r="AE9" i="155"/>
  <c r="AE10" i="155"/>
  <c r="AE11" i="155"/>
  <c r="AE12" i="155"/>
  <c r="AE14" i="155"/>
  <c r="AE15" i="155"/>
  <c r="AK15" i="155"/>
  <c r="AK14" i="155"/>
  <c r="AK13" i="155"/>
  <c r="AK11" i="155"/>
  <c r="AK12" i="155"/>
  <c r="AM9" i="155"/>
  <c r="AM10" i="155"/>
  <c r="AM11" i="155"/>
  <c r="AM13" i="155"/>
  <c r="AM14" i="155"/>
  <c r="AM15" i="155"/>
  <c r="AS11" i="155"/>
  <c r="AS12" i="155"/>
  <c r="AS13" i="155"/>
  <c r="AS14" i="155"/>
  <c r="AS15" i="155"/>
  <c r="AU10" i="155"/>
  <c r="AU12" i="155"/>
  <c r="AU13" i="155"/>
  <c r="AU14" i="155"/>
  <c r="AU15" i="155"/>
  <c r="AV7" i="155"/>
  <c r="AW7" i="155" s="1"/>
  <c r="AT7" i="155"/>
  <c r="AU7" i="155" s="1"/>
  <c r="AR7" i="155"/>
  <c r="AS7" i="155" s="1"/>
  <c r="AQ7" i="155"/>
  <c r="AN7" i="155"/>
  <c r="AO7" i="155" s="1"/>
  <c r="AL7" i="155"/>
  <c r="AM7" i="155" s="1"/>
  <c r="AJ7" i="155"/>
  <c r="AK7" i="155" s="1"/>
  <c r="AF7" i="155"/>
  <c r="AG7" i="155" s="1"/>
  <c r="AD7" i="155"/>
  <c r="AB7" i="155"/>
  <c r="AC7" i="155" s="1"/>
  <c r="X7" i="155"/>
  <c r="Y7" i="155" s="1"/>
  <c r="V7" i="155"/>
  <c r="W7" i="155" s="1"/>
  <c r="T7" i="155"/>
  <c r="U7" i="155" s="1"/>
  <c r="S7" i="155"/>
  <c r="P7" i="155"/>
  <c r="Q7" i="155" s="1"/>
  <c r="N7" i="155"/>
  <c r="O7" i="155" s="1"/>
  <c r="L7" i="155"/>
  <c r="M7" i="155" s="1"/>
  <c r="H7" i="155"/>
  <c r="I7" i="155" s="1"/>
  <c r="F7" i="155"/>
  <c r="E40" i="159"/>
  <c r="E41" i="159" s="1"/>
  <c r="F21" i="159"/>
  <c r="F22" i="159" s="1"/>
  <c r="E21" i="159"/>
  <c r="E22" i="159" s="1"/>
  <c r="D3" i="159"/>
  <c r="E3" i="159" s="1"/>
  <c r="F3" i="159" s="1"/>
  <c r="G3" i="159" s="1"/>
  <c r="H3" i="159" s="1"/>
  <c r="G4" i="156"/>
  <c r="K4" i="156" s="1"/>
  <c r="O4" i="156" s="1"/>
  <c r="S4" i="156" s="1"/>
  <c r="N4" i="155"/>
  <c r="V4" i="155" s="1"/>
  <c r="AD4" i="155" s="1"/>
  <c r="AL4" i="155" s="1"/>
  <c r="AT4" i="155" s="1"/>
  <c r="C41" i="159"/>
  <c r="G40" i="159"/>
  <c r="G41" i="159" s="1"/>
  <c r="D40" i="159"/>
  <c r="D41" i="159" s="1"/>
  <c r="S11" i="155"/>
  <c r="H21" i="159"/>
  <c r="D31" i="159"/>
  <c r="D32" i="159" s="1"/>
  <c r="C31" i="159"/>
  <c r="C32" i="159" s="1"/>
  <c r="F31" i="159"/>
  <c r="F32" i="159" s="1"/>
  <c r="F40" i="159"/>
  <c r="F41" i="159" s="1"/>
  <c r="G31" i="159"/>
  <c r="G32" i="159" s="1"/>
  <c r="H40" i="159"/>
  <c r="H31" i="159"/>
  <c r="E31" i="159"/>
  <c r="E32" i="159" s="1"/>
  <c r="G21" i="159"/>
  <c r="G22" i="159" s="1"/>
  <c r="D22" i="159"/>
  <c r="C21" i="159"/>
  <c r="C22" i="159" s="1"/>
  <c r="S10" i="155"/>
  <c r="AQ8" i="155"/>
  <c r="O9" i="155"/>
  <c r="S9" i="155"/>
  <c r="U9" i="155"/>
  <c r="W9" i="155"/>
  <c r="AK9" i="155"/>
  <c r="AQ9" i="155"/>
  <c r="AS9" i="155"/>
  <c r="AU9" i="155"/>
  <c r="O10" i="155"/>
  <c r="W10" i="155"/>
  <c r="AK10" i="155"/>
  <c r="AQ10" i="155"/>
  <c r="AS10" i="155"/>
  <c r="G11" i="155"/>
  <c r="AQ11" i="155"/>
  <c r="AU11" i="155"/>
  <c r="S12" i="155"/>
  <c r="W12" i="155"/>
  <c r="AM12" i="155"/>
  <c r="AQ12" i="155"/>
  <c r="S13" i="155"/>
  <c r="U13" i="155"/>
  <c r="AE13" i="155"/>
  <c r="AQ13" i="155"/>
  <c r="S14" i="155"/>
  <c r="AQ14" i="155"/>
  <c r="AQ15" i="155"/>
  <c r="BG11" i="155" l="1"/>
  <c r="BG10" i="155"/>
  <c r="AM8" i="155"/>
  <c r="BF8" i="155"/>
  <c r="BG9" i="155"/>
  <c r="BG13" i="155"/>
  <c r="AE7" i="155"/>
  <c r="BF7" i="155"/>
  <c r="G8" i="155"/>
  <c r="S8" i="155"/>
  <c r="I8" i="155"/>
  <c r="AC15" i="155"/>
  <c r="BG15" i="155" s="1"/>
  <c r="G14" i="155"/>
  <c r="BG14" i="155" s="1"/>
  <c r="G12" i="155"/>
  <c r="BG12" i="155" s="1"/>
  <c r="G9" i="155"/>
  <c r="W4" i="156"/>
  <c r="Z4" i="156" s="1"/>
  <c r="BG8" i="155" l="1"/>
  <c r="AZ4" i="155"/>
  <c r="G7" i="155"/>
  <c r="BG7" i="155" s="1"/>
</calcChain>
</file>

<file path=xl/sharedStrings.xml><?xml version="1.0" encoding="utf-8"?>
<sst xmlns="http://schemas.openxmlformats.org/spreadsheetml/2006/main" count="200" uniqueCount="49">
  <si>
    <t>Domingo</t>
  </si>
  <si>
    <t>Lunes</t>
  </si>
  <si>
    <t>Martes</t>
  </si>
  <si>
    <t>Ruta</t>
  </si>
  <si>
    <t>Zona</t>
  </si>
  <si>
    <t>Referencia</t>
  </si>
  <si>
    <t>1er Turno</t>
  </si>
  <si>
    <t>2do Turno</t>
  </si>
  <si>
    <t># Personal</t>
  </si>
  <si>
    <t>% Ocupación</t>
  </si>
  <si>
    <t>Miércoles</t>
  </si>
  <si>
    <t>Jueves</t>
  </si>
  <si>
    <t>Viernes</t>
  </si>
  <si>
    <t>Sábado</t>
  </si>
  <si>
    <t>Tipo de Unidad</t>
  </si>
  <si>
    <t>CONTROL DE OCUPACION DE USUARIOS POR RUTA</t>
  </si>
  <si>
    <t>Promedio 
Diario</t>
  </si>
  <si>
    <t>Celaya</t>
  </si>
  <si>
    <t>Apaseo el Alto</t>
  </si>
  <si>
    <t>Capacidad de Asientos</t>
  </si>
  <si>
    <t>Parada</t>
  </si>
  <si>
    <t>Mixto</t>
  </si>
  <si>
    <t>3er Turno</t>
  </si>
  <si>
    <t>Coopel</t>
  </si>
  <si>
    <t>Oxxo</t>
  </si>
  <si>
    <t>Telcel</t>
  </si>
  <si>
    <t>Fuentes de Balvanera</t>
  </si>
  <si>
    <t>Qro Carrillo</t>
  </si>
  <si>
    <t>Bodega Aurrera</t>
  </si>
  <si>
    <t>Qro Obrera</t>
  </si>
  <si>
    <t>Rancherías</t>
  </si>
  <si>
    <t>Capilla</t>
  </si>
  <si>
    <t>Apaseo el Grande</t>
  </si>
  <si>
    <t>Canchas de futbol</t>
  </si>
  <si>
    <t>Cliente: ILPEA</t>
  </si>
  <si>
    <t>Ocupacion</t>
  </si>
  <si>
    <t>Abordaje</t>
  </si>
  <si>
    <t>Van</t>
  </si>
  <si>
    <t>Autobus</t>
  </si>
  <si>
    <t>ILPEA</t>
  </si>
  <si>
    <t>Paradas</t>
  </si>
  <si>
    <t>Usuarios</t>
  </si>
  <si>
    <t>Porcentaje de Ocupación</t>
  </si>
  <si>
    <t xml:space="preserve">Tierra Blanca </t>
  </si>
  <si>
    <t xml:space="preserve">Tierra blanca </t>
  </si>
  <si>
    <t xml:space="preserve">Van </t>
  </si>
  <si>
    <t>Picaho</t>
  </si>
  <si>
    <t>Frente al Templo</t>
  </si>
  <si>
    <t>San Miguel Octopan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</si>
</sst>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5" tint="-0.249977111117893"/>
      <name val="Calibri"/>
      <family val="2"/>
      <scheme val="minor"/>
    </font>
    <font>
      <sz val="11"/>
      <color theme="1"/>
      <name val="Daxlinepro-bold"/>
    </font>
    <font>
      <sz val="12"/>
      <color theme="0"/>
      <name val="Daxlinepro-bold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0" borderId="0"/>
    <xf numFmtId="9" fontId="6" fillId="0" borderId="0" applyFont="0" applyFill="0" applyBorder="0" applyAlignment="0" applyProtection="0"/>
    <xf numFmtId="0" fontId="4" fillId="0" borderId="0"/>
  </cellStyleXfs>
  <cellXfs count="105">
    <xf numFmtId="0" fontId="0" fillId="0" borderId="0" xfId="0"/>
    <xf numFmtId="0" fontId="8" fillId="0" borderId="0" xfId="0" applyFont="1" applyAlignment="1">
      <alignment horizontal="center"/>
    </xf>
    <xf numFmtId="0" fontId="2" fillId="0" borderId="0" xfId="0" applyFont="1"/>
    <xf numFmtId="0" fontId="5" fillId="0" borderId="4" xfId="2" applyFont="1" applyBorder="1" applyAlignment="1">
      <alignment horizontal="center" vertical="center"/>
    </xf>
    <xf numFmtId="0" fontId="0" fillId="0" borderId="4" xfId="2" applyFont="1" applyBorder="1" applyAlignment="1">
      <alignment horizontal="center" vertical="center"/>
    </xf>
    <xf numFmtId="0" fontId="5" fillId="0" borderId="4" xfId="2" applyFont="1" applyBorder="1" applyAlignment="1">
      <alignment horizontal="left" vertical="center"/>
    </xf>
    <xf numFmtId="0" fontId="5" fillId="0" borderId="4" xfId="2" applyFont="1" applyBorder="1" applyAlignment="1">
      <alignment vertical="center"/>
    </xf>
    <xf numFmtId="0" fontId="12" fillId="0" borderId="4" xfId="2" applyFont="1" applyBorder="1" applyAlignment="1">
      <alignment horizontal="left" vertical="center"/>
    </xf>
    <xf numFmtId="0" fontId="12" fillId="0" borderId="4" xfId="2" applyFont="1" applyBorder="1" applyAlignment="1">
      <alignment vertical="center"/>
    </xf>
    <xf numFmtId="0" fontId="10" fillId="0" borderId="7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 wrapText="1"/>
    </xf>
    <xf numFmtId="9" fontId="0" fillId="0" borderId="4" xfId="3" applyFont="1" applyFill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9" xfId="0" applyFont="1" applyBorder="1" applyAlignment="1">
      <alignment horizontal="left"/>
    </xf>
    <xf numFmtId="0" fontId="12" fillId="0" borderId="0" xfId="0" applyFont="1" applyAlignment="1">
      <alignment horizontal="center"/>
    </xf>
    <xf numFmtId="0" fontId="3" fillId="4" borderId="7" xfId="1" applyFont="1" applyFill="1" applyBorder="1" applyAlignment="1">
      <alignment horizontal="center" vertical="center" wrapText="1"/>
    </xf>
    <xf numFmtId="0" fontId="7" fillId="4" borderId="6" xfId="1" applyFont="1" applyFill="1" applyBorder="1" applyAlignment="1">
      <alignment horizontal="center" vertical="center" wrapText="1"/>
    </xf>
    <xf numFmtId="0" fontId="3" fillId="4" borderId="10" xfId="1" applyFont="1" applyFill="1" applyBorder="1" applyAlignment="1">
      <alignment horizontal="center" vertical="center" wrapText="1"/>
    </xf>
    <xf numFmtId="0" fontId="7" fillId="4" borderId="10" xfId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9" fontId="0" fillId="0" borderId="6" xfId="3" applyFont="1" applyFill="1" applyBorder="1" applyAlignment="1">
      <alignment horizontal="center"/>
    </xf>
    <xf numFmtId="0" fontId="11" fillId="0" borderId="0" xfId="0" applyFont="1" applyAlignment="1">
      <alignment horizontal="left" vertical="center"/>
    </xf>
    <xf numFmtId="0" fontId="7" fillId="4" borderId="11" xfId="1" applyFont="1" applyFill="1" applyBorder="1" applyAlignment="1">
      <alignment horizontal="center" vertical="center" wrapText="1"/>
    </xf>
    <xf numFmtId="0" fontId="3" fillId="4" borderId="11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10" fillId="6" borderId="4" xfId="2" applyFont="1" applyFill="1" applyBorder="1" applyAlignment="1">
      <alignment horizontal="center" vertical="center"/>
    </xf>
    <xf numFmtId="0" fontId="10" fillId="7" borderId="4" xfId="2" applyFont="1" applyFill="1" applyBorder="1" applyAlignment="1">
      <alignment horizontal="center" vertical="center"/>
    </xf>
    <xf numFmtId="0" fontId="10" fillId="8" borderId="4" xfId="2" applyFont="1" applyFill="1" applyBorder="1" applyAlignment="1">
      <alignment horizontal="center" vertical="center"/>
    </xf>
    <xf numFmtId="0" fontId="10" fillId="9" borderId="4" xfId="2" applyFont="1" applyFill="1" applyBorder="1" applyAlignment="1">
      <alignment horizontal="center" vertical="center"/>
    </xf>
    <xf numFmtId="0" fontId="14" fillId="8" borderId="4" xfId="2" applyFont="1" applyFill="1" applyBorder="1" applyAlignment="1">
      <alignment horizontal="center" vertical="center"/>
    </xf>
    <xf numFmtId="0" fontId="10" fillId="10" borderId="4" xfId="2" applyFont="1" applyFill="1" applyBorder="1" applyAlignment="1">
      <alignment horizontal="center" vertical="center"/>
    </xf>
    <xf numFmtId="0" fontId="10" fillId="11" borderId="4" xfId="2" applyFont="1" applyFill="1" applyBorder="1" applyAlignment="1">
      <alignment horizontal="center" vertical="center"/>
    </xf>
    <xf numFmtId="0" fontId="10" fillId="12" borderId="4" xfId="2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vertical="center" wrapText="1"/>
    </xf>
    <xf numFmtId="0" fontId="10" fillId="13" borderId="4" xfId="2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7" fillId="4" borderId="4" xfId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6" fillId="0" borderId="0" xfId="0" applyFont="1"/>
    <xf numFmtId="0" fontId="4" fillId="0" borderId="0" xfId="4"/>
    <xf numFmtId="14" fontId="18" fillId="14" borderId="0" xfId="4" applyNumberFormat="1" applyFont="1" applyFill="1" applyAlignment="1">
      <alignment horizontal="center"/>
    </xf>
    <xf numFmtId="0" fontId="18" fillId="14" borderId="0" xfId="4" applyFont="1" applyFill="1" applyAlignment="1">
      <alignment horizontal="center" vertical="center"/>
    </xf>
    <xf numFmtId="0" fontId="18" fillId="0" borderId="0" xfId="4" applyFont="1"/>
    <xf numFmtId="0" fontId="4" fillId="0" borderId="0" xfId="4" applyAlignment="1">
      <alignment horizontal="center" vertical="center"/>
    </xf>
    <xf numFmtId="9" fontId="4" fillId="16" borderId="0" xfId="4" applyNumberFormat="1" applyFill="1" applyAlignment="1">
      <alignment horizontal="center" vertical="center"/>
    </xf>
    <xf numFmtId="0" fontId="4" fillId="6" borderId="4" xfId="4" applyFill="1" applyBorder="1" applyAlignment="1">
      <alignment horizontal="center" vertical="center"/>
    </xf>
    <xf numFmtId="0" fontId="4" fillId="15" borderId="4" xfId="4" applyFill="1" applyBorder="1" applyAlignment="1">
      <alignment horizontal="center" vertical="center"/>
    </xf>
    <xf numFmtId="0" fontId="4" fillId="17" borderId="4" xfId="4" applyFill="1" applyBorder="1" applyAlignment="1">
      <alignment horizontal="center" vertical="center"/>
    </xf>
    <xf numFmtId="0" fontId="13" fillId="18" borderId="4" xfId="2" applyFont="1" applyFill="1" applyBorder="1" applyAlignment="1">
      <alignment horizontal="center" vertical="center"/>
    </xf>
    <xf numFmtId="0" fontId="13" fillId="19" borderId="4" xfId="2" applyFont="1" applyFill="1" applyBorder="1" applyAlignment="1">
      <alignment horizontal="center" vertical="center"/>
    </xf>
    <xf numFmtId="0" fontId="5" fillId="19" borderId="4" xfId="2" applyFont="1" applyFill="1" applyBorder="1" applyAlignment="1">
      <alignment horizontal="center" vertical="center"/>
    </xf>
    <xf numFmtId="0" fontId="0" fillId="19" borderId="4" xfId="2" applyFont="1" applyFill="1" applyBorder="1" applyAlignment="1">
      <alignment horizontal="center" vertical="center"/>
    </xf>
    <xf numFmtId="0" fontId="5" fillId="19" borderId="4" xfId="2" applyFont="1" applyFill="1" applyBorder="1" applyAlignment="1">
      <alignment horizontal="left" vertical="center"/>
    </xf>
    <xf numFmtId="0" fontId="5" fillId="19" borderId="4" xfId="2" applyFont="1" applyFill="1" applyBorder="1" applyAlignment="1">
      <alignment vertical="center"/>
    </xf>
    <xf numFmtId="0" fontId="0" fillId="19" borderId="10" xfId="0" applyFill="1" applyBorder="1" applyAlignment="1">
      <alignment horizontal="center"/>
    </xf>
    <xf numFmtId="9" fontId="0" fillId="19" borderId="6" xfId="3" applyFont="1" applyFill="1" applyBorder="1" applyAlignment="1">
      <alignment horizontal="center"/>
    </xf>
    <xf numFmtId="14" fontId="3" fillId="3" borderId="7" xfId="1" applyNumberFormat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 wrapText="1"/>
    </xf>
    <xf numFmtId="9" fontId="0" fillId="0" borderId="10" xfId="3" applyFont="1" applyBorder="1" applyAlignment="1">
      <alignment horizontal="center"/>
    </xf>
    <xf numFmtId="0" fontId="2" fillId="3" borderId="17" xfId="0" applyFont="1" applyFill="1" applyBorder="1" applyAlignment="1">
      <alignment horizontal="center" vertical="center"/>
    </xf>
    <xf numFmtId="14" fontId="3" fillId="3" borderId="0" xfId="1" applyNumberFormat="1" applyFont="1" applyFill="1" applyBorder="1" applyAlignment="1">
      <alignment horizontal="center" vertical="center"/>
    </xf>
    <xf numFmtId="0" fontId="20" fillId="0" borderId="0" xfId="0" applyFont="1"/>
    <xf numFmtId="14" fontId="17" fillId="0" borderId="0" xfId="4" applyNumberFormat="1" applyFont="1" applyAlignment="1">
      <alignment horizontal="center" vertical="center"/>
    </xf>
    <xf numFmtId="14" fontId="18" fillId="0" borderId="0" xfId="4" applyNumberFormat="1" applyFont="1" applyAlignment="1">
      <alignment horizontal="center" vertical="center"/>
    </xf>
    <xf numFmtId="0" fontId="18" fillId="0" borderId="0" xfId="4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4" fillId="4" borderId="3" xfId="1" applyFont="1" applyFill="1" applyBorder="1" applyAlignment="1">
      <alignment horizontal="center" vertical="center"/>
    </xf>
    <xf numFmtId="0" fontId="14" fillId="4" borderId="2" xfId="1" applyFont="1" applyFill="1" applyBorder="1" applyAlignment="1">
      <alignment horizontal="center" vertical="center"/>
    </xf>
    <xf numFmtId="0" fontId="14" fillId="4" borderId="8" xfId="1" applyFont="1" applyFill="1" applyBorder="1" applyAlignment="1">
      <alignment horizontal="center" vertical="center"/>
    </xf>
    <xf numFmtId="14" fontId="3" fillId="3" borderId="5" xfId="1" applyNumberFormat="1" applyFont="1" applyFill="1" applyBorder="1" applyAlignment="1">
      <alignment horizontal="center" vertical="center"/>
    </xf>
    <xf numFmtId="14" fontId="3" fillId="3" borderId="7" xfId="1" applyNumberFormat="1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3" fillId="4" borderId="9" xfId="1" applyFont="1" applyFill="1" applyBorder="1" applyAlignment="1">
      <alignment horizontal="center" vertical="center" wrapText="1"/>
    </xf>
    <xf numFmtId="0" fontId="3" fillId="4" borderId="16" xfId="1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14" fontId="3" fillId="3" borderId="6" xfId="1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 wrapText="1"/>
    </xf>
    <xf numFmtId="14" fontId="17" fillId="14" borderId="0" xfId="4" applyNumberFormat="1" applyFont="1" applyFill="1" applyAlignment="1">
      <alignment horizontal="center" vertical="center"/>
    </xf>
    <xf numFmtId="14" fontId="18" fillId="14" borderId="0" xfId="4" applyNumberFormat="1" applyFont="1" applyFill="1" applyAlignment="1">
      <alignment horizontal="center" vertical="center"/>
    </xf>
    <xf numFmtId="0" fontId="0" fillId="10" borderId="0" xfId="0" applyFill="1" applyAlignment="1">
      <alignment horizontal="center"/>
    </xf>
  </cellXfs>
  <cellStyles count="5">
    <cellStyle name="Celda de comprobación" xfId="1" builtinId="23"/>
    <cellStyle name="Normal" xfId="0" builtinId="0"/>
    <cellStyle name="Normal 2" xfId="2" xr:uid="{00000000-0005-0000-0000-000002000000}"/>
    <cellStyle name="Normal 3" xfId="4" xr:uid="{7426B745-EA56-48B2-B247-5A6A9B0FEA2B}"/>
    <cellStyle name="Porcentaje" xfId="3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'Paradas Ilpea'!$K$1:$K$4</c:f>
              <c:strCache>
                <c:ptCount val="4"/>
                <c:pt idx="0">
                  <c:v>CONTROL DE OCUPACION DE USUARIOS POR RUTA</c:v>
                </c:pt>
                <c:pt idx="2">
                  <c:v>Miércoles</c:v>
                </c:pt>
                <c:pt idx="3">
                  <c:v>11/03/2026</c:v>
                </c:pt>
              </c:strCache>
            </c:strRef>
          </c:tx>
          <c:invertIfNegative val="0"/>
          <c:cat>
            <c:multiLvlStrRef>
              <c:f>'Paradas Ilpea'!$A$5:$J$83</c:f>
              <c:multiLvlStrCache>
                <c:ptCount val="79"/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1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2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2</c:v>
                  </c:pt>
                  <c:pt idx="64">
                    <c:v>1</c:v>
                  </c:pt>
                  <c:pt idx="65">
                    <c:v>0</c:v>
                  </c:pt>
                  <c:pt idx="66">
                    <c:v>4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3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3</c:v>
                  </c:pt>
                  <c:pt idx="23">
                    <c:v>3</c:v>
                  </c:pt>
                  <c:pt idx="24">
                    <c:v>12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0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1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6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2</c:v>
                  </c:pt>
                  <c:pt idx="20">
                    <c:v>4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6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1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2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10</c:v>
                  </c:pt>
                  <c:pt idx="78">
                    <c:v>7</c:v>
                  </c:pt>
                </c:lvl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2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2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3</c:v>
                  </c:pt>
                  <c:pt idx="64">
                    <c:v>1</c:v>
                  </c:pt>
                  <c:pt idx="65">
                    <c:v>0</c:v>
                  </c:pt>
                  <c:pt idx="66">
                    <c:v>2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4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8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1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2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7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1</c:v>
                  </c:pt>
                  <c:pt idx="20">
                    <c:v>3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7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2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1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9</c:v>
                  </c:pt>
                  <c:pt idx="78">
                    <c:v>7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0">
                    <c:v>7</c:v>
                  </c:pt>
                  <c:pt idx="21">
                    <c:v>8</c:v>
                  </c:pt>
                  <c:pt idx="22">
                    <c:v>9</c:v>
                  </c:pt>
                  <c:pt idx="23">
                    <c:v>10</c:v>
                  </c:pt>
                  <c:pt idx="24">
                    <c:v>11</c:v>
                  </c:pt>
                  <c:pt idx="25">
                    <c:v>12</c:v>
                  </c:pt>
                  <c:pt idx="26">
                    <c:v>13</c:v>
                  </c:pt>
                  <c:pt idx="27">
                    <c:v>14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5">
                    <c:v>1</c:v>
                  </c:pt>
                  <c:pt idx="36">
                    <c:v>2</c:v>
                  </c:pt>
                  <c:pt idx="37">
                    <c:v>3</c:v>
                  </c:pt>
                  <c:pt idx="38">
                    <c:v>4</c:v>
                  </c:pt>
                  <c:pt idx="39">
                    <c:v>5</c:v>
                  </c:pt>
                  <c:pt idx="40">
                    <c:v>6</c:v>
                  </c:pt>
                  <c:pt idx="41">
                    <c:v>7</c:v>
                  </c:pt>
                  <c:pt idx="42">
                    <c:v>8</c:v>
                  </c:pt>
                  <c:pt idx="43">
                    <c:v>9</c:v>
                  </c:pt>
                  <c:pt idx="44">
                    <c:v>10</c:v>
                  </c:pt>
                  <c:pt idx="45">
                    <c:v>11</c:v>
                  </c:pt>
                  <c:pt idx="46">
                    <c:v>12</c:v>
                  </c:pt>
                  <c:pt idx="47">
                    <c:v>1</c:v>
                  </c:pt>
                  <c:pt idx="48">
                    <c:v>2</c:v>
                  </c:pt>
                  <c:pt idx="49">
                    <c:v>3</c:v>
                  </c:pt>
                  <c:pt idx="50">
                    <c:v>1</c:v>
                  </c:pt>
                  <c:pt idx="51">
                    <c:v>2</c:v>
                  </c:pt>
                  <c:pt idx="52">
                    <c:v>3</c:v>
                  </c:pt>
                  <c:pt idx="53">
                    <c:v>4</c:v>
                  </c:pt>
                  <c:pt idx="54">
                    <c:v>5</c:v>
                  </c:pt>
                  <c:pt idx="55">
                    <c:v>6</c:v>
                  </c:pt>
                  <c:pt idx="56">
                    <c:v>7</c:v>
                  </c:pt>
                  <c:pt idx="57">
                    <c:v>8</c:v>
                  </c:pt>
                  <c:pt idx="58">
                    <c:v>9</c:v>
                  </c:pt>
                  <c:pt idx="59">
                    <c:v>10</c:v>
                  </c:pt>
                  <c:pt idx="60">
                    <c:v>11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5">
                    <c:v>5</c:v>
                  </c:pt>
                  <c:pt idx="66">
                    <c:v>6</c:v>
                  </c:pt>
                  <c:pt idx="67">
                    <c:v>7</c:v>
                  </c:pt>
                  <c:pt idx="68">
                    <c:v>8</c:v>
                  </c:pt>
                  <c:pt idx="69">
                    <c:v>1</c:v>
                  </c:pt>
                  <c:pt idx="70">
                    <c:v>2</c:v>
                  </c:pt>
                  <c:pt idx="71">
                    <c:v>3</c:v>
                  </c:pt>
                  <c:pt idx="72">
                    <c:v>4</c:v>
                  </c:pt>
                  <c:pt idx="73">
                    <c:v>5</c:v>
                  </c:pt>
                  <c:pt idx="74">
                    <c:v>6</c:v>
                  </c:pt>
                  <c:pt idx="75">
                    <c:v>7</c:v>
                  </c:pt>
                  <c:pt idx="76">
                    <c:v>8</c:v>
                  </c:pt>
                  <c:pt idx="77">
                    <c:v>9</c:v>
                  </c:pt>
                  <c:pt idx="78">
                    <c:v>10</c:v>
                  </c:pt>
                </c:lvl>
                <c:lvl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4</c:v>
                  </c:pt>
                  <c:pt idx="36">
                    <c:v>4</c:v>
                  </c:pt>
                  <c:pt idx="37">
                    <c:v>4</c:v>
                  </c:pt>
                  <c:pt idx="38">
                    <c:v>4</c:v>
                  </c:pt>
                  <c:pt idx="39">
                    <c:v>4</c:v>
                  </c:pt>
                  <c:pt idx="40">
                    <c:v>4</c:v>
                  </c:pt>
                  <c:pt idx="41">
                    <c:v>4</c:v>
                  </c:pt>
                  <c:pt idx="42">
                    <c:v>4</c:v>
                  </c:pt>
                  <c:pt idx="43">
                    <c:v>4</c:v>
                  </c:pt>
                  <c:pt idx="44">
                    <c:v>4</c:v>
                  </c:pt>
                  <c:pt idx="45">
                    <c:v>4</c:v>
                  </c:pt>
                  <c:pt idx="46">
                    <c:v>4</c:v>
                  </c:pt>
                  <c:pt idx="47">
                    <c:v>6</c:v>
                  </c:pt>
                  <c:pt idx="48">
                    <c:v>6</c:v>
                  </c:pt>
                  <c:pt idx="49">
                    <c:v>6</c:v>
                  </c:pt>
                  <c:pt idx="50">
                    <c:v>7</c:v>
                  </c:pt>
                  <c:pt idx="51">
                    <c:v>7</c:v>
                  </c:pt>
                  <c:pt idx="52">
                    <c:v>7</c:v>
                  </c:pt>
                  <c:pt idx="53">
                    <c:v>7</c:v>
                  </c:pt>
                  <c:pt idx="54">
                    <c:v>7</c:v>
                  </c:pt>
                  <c:pt idx="55">
                    <c:v>7</c:v>
                  </c:pt>
                  <c:pt idx="56">
                    <c:v>7</c:v>
                  </c:pt>
                  <c:pt idx="57">
                    <c:v>7</c:v>
                  </c:pt>
                  <c:pt idx="58">
                    <c:v>7</c:v>
                  </c:pt>
                  <c:pt idx="59">
                    <c:v>7</c:v>
                  </c:pt>
                  <c:pt idx="60">
                    <c:v>7</c:v>
                  </c:pt>
                  <c:pt idx="61">
                    <c:v>8</c:v>
                  </c:pt>
                  <c:pt idx="62">
                    <c:v>8</c:v>
                  </c:pt>
                  <c:pt idx="63">
                    <c:v>8</c:v>
                  </c:pt>
                  <c:pt idx="64">
                    <c:v>8</c:v>
                  </c:pt>
                  <c:pt idx="65">
                    <c:v>8</c:v>
                  </c:pt>
                  <c:pt idx="66">
                    <c:v>8</c:v>
                  </c:pt>
                  <c:pt idx="67">
                    <c:v>8</c:v>
                  </c:pt>
                  <c:pt idx="68">
                    <c:v>8</c:v>
                  </c:pt>
                  <c:pt idx="69">
                    <c:v>9</c:v>
                  </c:pt>
                  <c:pt idx="70">
                    <c:v>9</c:v>
                  </c:pt>
                  <c:pt idx="71">
                    <c:v>9</c:v>
                  </c:pt>
                  <c:pt idx="72">
                    <c:v>9</c:v>
                  </c:pt>
                  <c:pt idx="73">
                    <c:v>9</c:v>
                  </c:pt>
                  <c:pt idx="74">
                    <c:v>9</c:v>
                  </c:pt>
                  <c:pt idx="75">
                    <c:v>9</c:v>
                  </c:pt>
                  <c:pt idx="76">
                    <c:v>9</c:v>
                  </c:pt>
                  <c:pt idx="77">
                    <c:v>9</c:v>
                  </c:pt>
                  <c:pt idx="78">
                    <c:v>9</c:v>
                  </c:pt>
                </c:lvl>
              </c:multiLvlStrCache>
            </c:multiLvlStrRef>
          </c:cat>
          <c:val>
            <c:numRef>
              <c:f>'Paradas Ilpea'!$K$5:$K$83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5</c:v>
                </c:pt>
                <c:pt idx="12">
                  <c:v>3</c:v>
                </c:pt>
                <c:pt idx="13">
                  <c:v>8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5</c:v>
                </c:pt>
                <c:pt idx="21">
                  <c:v>0</c:v>
                </c:pt>
                <c:pt idx="22">
                  <c:v>3</c:v>
                </c:pt>
                <c:pt idx="23">
                  <c:v>4</c:v>
                </c:pt>
                <c:pt idx="24">
                  <c:v>7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0</c:v>
                </c:pt>
                <c:pt idx="29">
                  <c:v>2</c:v>
                </c:pt>
                <c:pt idx="30">
                  <c:v>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2</c:v>
                </c:pt>
                <c:pt idx="63">
                  <c:v>2</c:v>
                </c:pt>
                <c:pt idx="64">
                  <c:v>0</c:v>
                </c:pt>
                <c:pt idx="65">
                  <c:v>5</c:v>
                </c:pt>
                <c:pt idx="66">
                  <c:v>7</c:v>
                </c:pt>
                <c:pt idx="67">
                  <c:v>3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3</c:v>
                </c:pt>
                <c:pt idx="77">
                  <c:v>9</c:v>
                </c:pt>
                <c:pt idx="7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8-4327-A382-1C6C1E13E0AB}"/>
            </c:ext>
          </c:extLst>
        </c:ser>
        <c:ser>
          <c:idx val="1"/>
          <c:order val="1"/>
          <c:tx>
            <c:strRef>
              <c:f>'Paradas Ilpea'!$L$1:$L$4</c:f>
              <c:strCache>
                <c:ptCount val="4"/>
                <c:pt idx="0">
                  <c:v>CONTROL DE OCUPACION DE USUARIOS POR RUTA</c:v>
                </c:pt>
                <c:pt idx="2">
                  <c:v>Miércoles</c:v>
                </c:pt>
                <c:pt idx="3">
                  <c:v>11/03/2026</c:v>
                </c:pt>
              </c:strCache>
            </c:strRef>
          </c:tx>
          <c:invertIfNegative val="0"/>
          <c:cat>
            <c:multiLvlStrRef>
              <c:f>'Paradas Ilpea'!$A$5:$J$83</c:f>
              <c:multiLvlStrCache>
                <c:ptCount val="79"/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1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2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2</c:v>
                  </c:pt>
                  <c:pt idx="64">
                    <c:v>1</c:v>
                  </c:pt>
                  <c:pt idx="65">
                    <c:v>0</c:v>
                  </c:pt>
                  <c:pt idx="66">
                    <c:v>4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3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3</c:v>
                  </c:pt>
                  <c:pt idx="23">
                    <c:v>3</c:v>
                  </c:pt>
                  <c:pt idx="24">
                    <c:v>12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0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1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6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2</c:v>
                  </c:pt>
                  <c:pt idx="20">
                    <c:v>4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6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1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2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10</c:v>
                  </c:pt>
                  <c:pt idx="78">
                    <c:v>7</c:v>
                  </c:pt>
                </c:lvl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2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2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3</c:v>
                  </c:pt>
                  <c:pt idx="64">
                    <c:v>1</c:v>
                  </c:pt>
                  <c:pt idx="65">
                    <c:v>0</c:v>
                  </c:pt>
                  <c:pt idx="66">
                    <c:v>2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4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8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1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2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7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1</c:v>
                  </c:pt>
                  <c:pt idx="20">
                    <c:v>3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7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2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1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9</c:v>
                  </c:pt>
                  <c:pt idx="78">
                    <c:v>7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0">
                    <c:v>7</c:v>
                  </c:pt>
                  <c:pt idx="21">
                    <c:v>8</c:v>
                  </c:pt>
                  <c:pt idx="22">
                    <c:v>9</c:v>
                  </c:pt>
                  <c:pt idx="23">
                    <c:v>10</c:v>
                  </c:pt>
                  <c:pt idx="24">
                    <c:v>11</c:v>
                  </c:pt>
                  <c:pt idx="25">
                    <c:v>12</c:v>
                  </c:pt>
                  <c:pt idx="26">
                    <c:v>13</c:v>
                  </c:pt>
                  <c:pt idx="27">
                    <c:v>14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5">
                    <c:v>1</c:v>
                  </c:pt>
                  <c:pt idx="36">
                    <c:v>2</c:v>
                  </c:pt>
                  <c:pt idx="37">
                    <c:v>3</c:v>
                  </c:pt>
                  <c:pt idx="38">
                    <c:v>4</c:v>
                  </c:pt>
                  <c:pt idx="39">
                    <c:v>5</c:v>
                  </c:pt>
                  <c:pt idx="40">
                    <c:v>6</c:v>
                  </c:pt>
                  <c:pt idx="41">
                    <c:v>7</c:v>
                  </c:pt>
                  <c:pt idx="42">
                    <c:v>8</c:v>
                  </c:pt>
                  <c:pt idx="43">
                    <c:v>9</c:v>
                  </c:pt>
                  <c:pt idx="44">
                    <c:v>10</c:v>
                  </c:pt>
                  <c:pt idx="45">
                    <c:v>11</c:v>
                  </c:pt>
                  <c:pt idx="46">
                    <c:v>12</c:v>
                  </c:pt>
                  <c:pt idx="47">
                    <c:v>1</c:v>
                  </c:pt>
                  <c:pt idx="48">
                    <c:v>2</c:v>
                  </c:pt>
                  <c:pt idx="49">
                    <c:v>3</c:v>
                  </c:pt>
                  <c:pt idx="50">
                    <c:v>1</c:v>
                  </c:pt>
                  <c:pt idx="51">
                    <c:v>2</c:v>
                  </c:pt>
                  <c:pt idx="52">
                    <c:v>3</c:v>
                  </c:pt>
                  <c:pt idx="53">
                    <c:v>4</c:v>
                  </c:pt>
                  <c:pt idx="54">
                    <c:v>5</c:v>
                  </c:pt>
                  <c:pt idx="55">
                    <c:v>6</c:v>
                  </c:pt>
                  <c:pt idx="56">
                    <c:v>7</c:v>
                  </c:pt>
                  <c:pt idx="57">
                    <c:v>8</c:v>
                  </c:pt>
                  <c:pt idx="58">
                    <c:v>9</c:v>
                  </c:pt>
                  <c:pt idx="59">
                    <c:v>10</c:v>
                  </c:pt>
                  <c:pt idx="60">
                    <c:v>11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5">
                    <c:v>5</c:v>
                  </c:pt>
                  <c:pt idx="66">
                    <c:v>6</c:v>
                  </c:pt>
                  <c:pt idx="67">
                    <c:v>7</c:v>
                  </c:pt>
                  <c:pt idx="68">
                    <c:v>8</c:v>
                  </c:pt>
                  <c:pt idx="69">
                    <c:v>1</c:v>
                  </c:pt>
                  <c:pt idx="70">
                    <c:v>2</c:v>
                  </c:pt>
                  <c:pt idx="71">
                    <c:v>3</c:v>
                  </c:pt>
                  <c:pt idx="72">
                    <c:v>4</c:v>
                  </c:pt>
                  <c:pt idx="73">
                    <c:v>5</c:v>
                  </c:pt>
                  <c:pt idx="74">
                    <c:v>6</c:v>
                  </c:pt>
                  <c:pt idx="75">
                    <c:v>7</c:v>
                  </c:pt>
                  <c:pt idx="76">
                    <c:v>8</c:v>
                  </c:pt>
                  <c:pt idx="77">
                    <c:v>9</c:v>
                  </c:pt>
                  <c:pt idx="78">
                    <c:v>10</c:v>
                  </c:pt>
                </c:lvl>
                <c:lvl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4</c:v>
                  </c:pt>
                  <c:pt idx="36">
                    <c:v>4</c:v>
                  </c:pt>
                  <c:pt idx="37">
                    <c:v>4</c:v>
                  </c:pt>
                  <c:pt idx="38">
                    <c:v>4</c:v>
                  </c:pt>
                  <c:pt idx="39">
                    <c:v>4</c:v>
                  </c:pt>
                  <c:pt idx="40">
                    <c:v>4</c:v>
                  </c:pt>
                  <c:pt idx="41">
                    <c:v>4</c:v>
                  </c:pt>
                  <c:pt idx="42">
                    <c:v>4</c:v>
                  </c:pt>
                  <c:pt idx="43">
                    <c:v>4</c:v>
                  </c:pt>
                  <c:pt idx="44">
                    <c:v>4</c:v>
                  </c:pt>
                  <c:pt idx="45">
                    <c:v>4</c:v>
                  </c:pt>
                  <c:pt idx="46">
                    <c:v>4</c:v>
                  </c:pt>
                  <c:pt idx="47">
                    <c:v>6</c:v>
                  </c:pt>
                  <c:pt idx="48">
                    <c:v>6</c:v>
                  </c:pt>
                  <c:pt idx="49">
                    <c:v>6</c:v>
                  </c:pt>
                  <c:pt idx="50">
                    <c:v>7</c:v>
                  </c:pt>
                  <c:pt idx="51">
                    <c:v>7</c:v>
                  </c:pt>
                  <c:pt idx="52">
                    <c:v>7</c:v>
                  </c:pt>
                  <c:pt idx="53">
                    <c:v>7</c:v>
                  </c:pt>
                  <c:pt idx="54">
                    <c:v>7</c:v>
                  </c:pt>
                  <c:pt idx="55">
                    <c:v>7</c:v>
                  </c:pt>
                  <c:pt idx="56">
                    <c:v>7</c:v>
                  </c:pt>
                  <c:pt idx="57">
                    <c:v>7</c:v>
                  </c:pt>
                  <c:pt idx="58">
                    <c:v>7</c:v>
                  </c:pt>
                  <c:pt idx="59">
                    <c:v>7</c:v>
                  </c:pt>
                  <c:pt idx="60">
                    <c:v>7</c:v>
                  </c:pt>
                  <c:pt idx="61">
                    <c:v>8</c:v>
                  </c:pt>
                  <c:pt idx="62">
                    <c:v>8</c:v>
                  </c:pt>
                  <c:pt idx="63">
                    <c:v>8</c:v>
                  </c:pt>
                  <c:pt idx="64">
                    <c:v>8</c:v>
                  </c:pt>
                  <c:pt idx="65">
                    <c:v>8</c:v>
                  </c:pt>
                  <c:pt idx="66">
                    <c:v>8</c:v>
                  </c:pt>
                  <c:pt idx="67">
                    <c:v>8</c:v>
                  </c:pt>
                  <c:pt idx="68">
                    <c:v>8</c:v>
                  </c:pt>
                  <c:pt idx="69">
                    <c:v>9</c:v>
                  </c:pt>
                  <c:pt idx="70">
                    <c:v>9</c:v>
                  </c:pt>
                  <c:pt idx="71">
                    <c:v>9</c:v>
                  </c:pt>
                  <c:pt idx="72">
                    <c:v>9</c:v>
                  </c:pt>
                  <c:pt idx="73">
                    <c:v>9</c:v>
                  </c:pt>
                  <c:pt idx="74">
                    <c:v>9</c:v>
                  </c:pt>
                  <c:pt idx="75">
                    <c:v>9</c:v>
                  </c:pt>
                  <c:pt idx="76">
                    <c:v>9</c:v>
                  </c:pt>
                  <c:pt idx="77">
                    <c:v>9</c:v>
                  </c:pt>
                  <c:pt idx="78">
                    <c:v>9</c:v>
                  </c:pt>
                </c:lvl>
              </c:multiLvlStrCache>
            </c:multiLvlStrRef>
          </c:cat>
          <c:val>
            <c:numRef>
              <c:f>'Paradas Ilpea'!$L$5:$L$83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7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5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3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3</c:v>
                </c:pt>
                <c:pt idx="23">
                  <c:v>3</c:v>
                </c:pt>
                <c:pt idx="24">
                  <c:v>12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2</c:v>
                </c:pt>
                <c:pt idx="63">
                  <c:v>4</c:v>
                </c:pt>
                <c:pt idx="64">
                  <c:v>1</c:v>
                </c:pt>
                <c:pt idx="65">
                  <c:v>7</c:v>
                </c:pt>
                <c:pt idx="66">
                  <c:v>5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2</c:v>
                </c:pt>
                <c:pt idx="76">
                  <c:v>0</c:v>
                </c:pt>
                <c:pt idx="77">
                  <c:v>5</c:v>
                </c:pt>
                <c:pt idx="7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F8-4327-A382-1C6C1E13E0AB}"/>
            </c:ext>
          </c:extLst>
        </c:ser>
        <c:ser>
          <c:idx val="2"/>
          <c:order val="2"/>
          <c:tx>
            <c:strRef>
              <c:f>'Paradas Ilpea'!$M$1:$M$4</c:f>
              <c:strCache>
                <c:ptCount val="4"/>
                <c:pt idx="0">
                  <c:v>CONTROL DE OCUPACION DE USUARIOS POR RUTA</c:v>
                </c:pt>
                <c:pt idx="2">
                  <c:v>Miércoles</c:v>
                </c:pt>
                <c:pt idx="3">
                  <c:v>11/03/2026</c:v>
                </c:pt>
              </c:strCache>
            </c:strRef>
          </c:tx>
          <c:invertIfNegative val="0"/>
          <c:cat>
            <c:multiLvlStrRef>
              <c:f>'Paradas Ilpea'!$A$5:$J$83</c:f>
              <c:multiLvlStrCache>
                <c:ptCount val="79"/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1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2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2</c:v>
                  </c:pt>
                  <c:pt idx="64">
                    <c:v>1</c:v>
                  </c:pt>
                  <c:pt idx="65">
                    <c:v>0</c:v>
                  </c:pt>
                  <c:pt idx="66">
                    <c:v>4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3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3</c:v>
                  </c:pt>
                  <c:pt idx="23">
                    <c:v>3</c:v>
                  </c:pt>
                  <c:pt idx="24">
                    <c:v>12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0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1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6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2</c:v>
                  </c:pt>
                  <c:pt idx="20">
                    <c:v>4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6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1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2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10</c:v>
                  </c:pt>
                  <c:pt idx="78">
                    <c:v>7</c:v>
                  </c:pt>
                </c:lvl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2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2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3</c:v>
                  </c:pt>
                  <c:pt idx="64">
                    <c:v>1</c:v>
                  </c:pt>
                  <c:pt idx="65">
                    <c:v>0</c:v>
                  </c:pt>
                  <c:pt idx="66">
                    <c:v>2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4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8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1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2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7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1</c:v>
                  </c:pt>
                  <c:pt idx="20">
                    <c:v>3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7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2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1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9</c:v>
                  </c:pt>
                  <c:pt idx="78">
                    <c:v>7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0">
                    <c:v>7</c:v>
                  </c:pt>
                  <c:pt idx="21">
                    <c:v>8</c:v>
                  </c:pt>
                  <c:pt idx="22">
                    <c:v>9</c:v>
                  </c:pt>
                  <c:pt idx="23">
                    <c:v>10</c:v>
                  </c:pt>
                  <c:pt idx="24">
                    <c:v>11</c:v>
                  </c:pt>
                  <c:pt idx="25">
                    <c:v>12</c:v>
                  </c:pt>
                  <c:pt idx="26">
                    <c:v>13</c:v>
                  </c:pt>
                  <c:pt idx="27">
                    <c:v>14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5">
                    <c:v>1</c:v>
                  </c:pt>
                  <c:pt idx="36">
                    <c:v>2</c:v>
                  </c:pt>
                  <c:pt idx="37">
                    <c:v>3</c:v>
                  </c:pt>
                  <c:pt idx="38">
                    <c:v>4</c:v>
                  </c:pt>
                  <c:pt idx="39">
                    <c:v>5</c:v>
                  </c:pt>
                  <c:pt idx="40">
                    <c:v>6</c:v>
                  </c:pt>
                  <c:pt idx="41">
                    <c:v>7</c:v>
                  </c:pt>
                  <c:pt idx="42">
                    <c:v>8</c:v>
                  </c:pt>
                  <c:pt idx="43">
                    <c:v>9</c:v>
                  </c:pt>
                  <c:pt idx="44">
                    <c:v>10</c:v>
                  </c:pt>
                  <c:pt idx="45">
                    <c:v>11</c:v>
                  </c:pt>
                  <c:pt idx="46">
                    <c:v>12</c:v>
                  </c:pt>
                  <c:pt idx="47">
                    <c:v>1</c:v>
                  </c:pt>
                  <c:pt idx="48">
                    <c:v>2</c:v>
                  </c:pt>
                  <c:pt idx="49">
                    <c:v>3</c:v>
                  </c:pt>
                  <c:pt idx="50">
                    <c:v>1</c:v>
                  </c:pt>
                  <c:pt idx="51">
                    <c:v>2</c:v>
                  </c:pt>
                  <c:pt idx="52">
                    <c:v>3</c:v>
                  </c:pt>
                  <c:pt idx="53">
                    <c:v>4</c:v>
                  </c:pt>
                  <c:pt idx="54">
                    <c:v>5</c:v>
                  </c:pt>
                  <c:pt idx="55">
                    <c:v>6</c:v>
                  </c:pt>
                  <c:pt idx="56">
                    <c:v>7</c:v>
                  </c:pt>
                  <c:pt idx="57">
                    <c:v>8</c:v>
                  </c:pt>
                  <c:pt idx="58">
                    <c:v>9</c:v>
                  </c:pt>
                  <c:pt idx="59">
                    <c:v>10</c:v>
                  </c:pt>
                  <c:pt idx="60">
                    <c:v>11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5">
                    <c:v>5</c:v>
                  </c:pt>
                  <c:pt idx="66">
                    <c:v>6</c:v>
                  </c:pt>
                  <c:pt idx="67">
                    <c:v>7</c:v>
                  </c:pt>
                  <c:pt idx="68">
                    <c:v>8</c:v>
                  </c:pt>
                  <c:pt idx="69">
                    <c:v>1</c:v>
                  </c:pt>
                  <c:pt idx="70">
                    <c:v>2</c:v>
                  </c:pt>
                  <c:pt idx="71">
                    <c:v>3</c:v>
                  </c:pt>
                  <c:pt idx="72">
                    <c:v>4</c:v>
                  </c:pt>
                  <c:pt idx="73">
                    <c:v>5</c:v>
                  </c:pt>
                  <c:pt idx="74">
                    <c:v>6</c:v>
                  </c:pt>
                  <c:pt idx="75">
                    <c:v>7</c:v>
                  </c:pt>
                  <c:pt idx="76">
                    <c:v>8</c:v>
                  </c:pt>
                  <c:pt idx="77">
                    <c:v>9</c:v>
                  </c:pt>
                  <c:pt idx="78">
                    <c:v>10</c:v>
                  </c:pt>
                </c:lvl>
                <c:lvl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4</c:v>
                  </c:pt>
                  <c:pt idx="36">
                    <c:v>4</c:v>
                  </c:pt>
                  <c:pt idx="37">
                    <c:v>4</c:v>
                  </c:pt>
                  <c:pt idx="38">
                    <c:v>4</c:v>
                  </c:pt>
                  <c:pt idx="39">
                    <c:v>4</c:v>
                  </c:pt>
                  <c:pt idx="40">
                    <c:v>4</c:v>
                  </c:pt>
                  <c:pt idx="41">
                    <c:v>4</c:v>
                  </c:pt>
                  <c:pt idx="42">
                    <c:v>4</c:v>
                  </c:pt>
                  <c:pt idx="43">
                    <c:v>4</c:v>
                  </c:pt>
                  <c:pt idx="44">
                    <c:v>4</c:v>
                  </c:pt>
                  <c:pt idx="45">
                    <c:v>4</c:v>
                  </c:pt>
                  <c:pt idx="46">
                    <c:v>4</c:v>
                  </c:pt>
                  <c:pt idx="47">
                    <c:v>6</c:v>
                  </c:pt>
                  <c:pt idx="48">
                    <c:v>6</c:v>
                  </c:pt>
                  <c:pt idx="49">
                    <c:v>6</c:v>
                  </c:pt>
                  <c:pt idx="50">
                    <c:v>7</c:v>
                  </c:pt>
                  <c:pt idx="51">
                    <c:v>7</c:v>
                  </c:pt>
                  <c:pt idx="52">
                    <c:v>7</c:v>
                  </c:pt>
                  <c:pt idx="53">
                    <c:v>7</c:v>
                  </c:pt>
                  <c:pt idx="54">
                    <c:v>7</c:v>
                  </c:pt>
                  <c:pt idx="55">
                    <c:v>7</c:v>
                  </c:pt>
                  <c:pt idx="56">
                    <c:v>7</c:v>
                  </c:pt>
                  <c:pt idx="57">
                    <c:v>7</c:v>
                  </c:pt>
                  <c:pt idx="58">
                    <c:v>7</c:v>
                  </c:pt>
                  <c:pt idx="59">
                    <c:v>7</c:v>
                  </c:pt>
                  <c:pt idx="60">
                    <c:v>7</c:v>
                  </c:pt>
                  <c:pt idx="61">
                    <c:v>8</c:v>
                  </c:pt>
                  <c:pt idx="62">
                    <c:v>8</c:v>
                  </c:pt>
                  <c:pt idx="63">
                    <c:v>8</c:v>
                  </c:pt>
                  <c:pt idx="64">
                    <c:v>8</c:v>
                  </c:pt>
                  <c:pt idx="65">
                    <c:v>8</c:v>
                  </c:pt>
                  <c:pt idx="66">
                    <c:v>8</c:v>
                  </c:pt>
                  <c:pt idx="67">
                    <c:v>8</c:v>
                  </c:pt>
                  <c:pt idx="68">
                    <c:v>8</c:v>
                  </c:pt>
                  <c:pt idx="69">
                    <c:v>9</c:v>
                  </c:pt>
                  <c:pt idx="70">
                    <c:v>9</c:v>
                  </c:pt>
                  <c:pt idx="71">
                    <c:v>9</c:v>
                  </c:pt>
                  <c:pt idx="72">
                    <c:v>9</c:v>
                  </c:pt>
                  <c:pt idx="73">
                    <c:v>9</c:v>
                  </c:pt>
                  <c:pt idx="74">
                    <c:v>9</c:v>
                  </c:pt>
                  <c:pt idx="75">
                    <c:v>9</c:v>
                  </c:pt>
                  <c:pt idx="76">
                    <c:v>9</c:v>
                  </c:pt>
                  <c:pt idx="77">
                    <c:v>9</c:v>
                  </c:pt>
                  <c:pt idx="78">
                    <c:v>9</c:v>
                  </c:pt>
                </c:lvl>
              </c:multiLvlStrCache>
            </c:multiLvlStrRef>
          </c:cat>
          <c:val>
            <c:numRef>
              <c:f>'Paradas Ilpea'!$M$5:$M$83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F8-4327-A382-1C6C1E13E0AB}"/>
            </c:ext>
          </c:extLst>
        </c:ser>
        <c:ser>
          <c:idx val="3"/>
          <c:order val="3"/>
          <c:tx>
            <c:strRef>
              <c:f>'Paradas Ilpea'!$N$1:$N$4</c:f>
              <c:strCache>
                <c:ptCount val="4"/>
                <c:pt idx="0">
                  <c:v>CONTROL DE OCUPACION DE USUARIOS POR RUTA</c:v>
                </c:pt>
                <c:pt idx="2">
                  <c:v>Miércoles</c:v>
                </c:pt>
                <c:pt idx="3">
                  <c:v>11/03/2026</c:v>
                </c:pt>
              </c:strCache>
            </c:strRef>
          </c:tx>
          <c:invertIfNegative val="0"/>
          <c:cat>
            <c:multiLvlStrRef>
              <c:f>'Paradas Ilpea'!$A$5:$J$83</c:f>
              <c:multiLvlStrCache>
                <c:ptCount val="79"/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1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2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2</c:v>
                  </c:pt>
                  <c:pt idx="64">
                    <c:v>1</c:v>
                  </c:pt>
                  <c:pt idx="65">
                    <c:v>0</c:v>
                  </c:pt>
                  <c:pt idx="66">
                    <c:v>4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3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3</c:v>
                  </c:pt>
                  <c:pt idx="23">
                    <c:v>3</c:v>
                  </c:pt>
                  <c:pt idx="24">
                    <c:v>12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0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1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6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2</c:v>
                  </c:pt>
                  <c:pt idx="20">
                    <c:v>4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6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1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2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10</c:v>
                  </c:pt>
                  <c:pt idx="78">
                    <c:v>7</c:v>
                  </c:pt>
                </c:lvl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2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2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3</c:v>
                  </c:pt>
                  <c:pt idx="64">
                    <c:v>1</c:v>
                  </c:pt>
                  <c:pt idx="65">
                    <c:v>0</c:v>
                  </c:pt>
                  <c:pt idx="66">
                    <c:v>2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4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8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1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2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7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1</c:v>
                  </c:pt>
                  <c:pt idx="20">
                    <c:v>3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7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2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1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9</c:v>
                  </c:pt>
                  <c:pt idx="78">
                    <c:v>7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0">
                    <c:v>7</c:v>
                  </c:pt>
                  <c:pt idx="21">
                    <c:v>8</c:v>
                  </c:pt>
                  <c:pt idx="22">
                    <c:v>9</c:v>
                  </c:pt>
                  <c:pt idx="23">
                    <c:v>10</c:v>
                  </c:pt>
                  <c:pt idx="24">
                    <c:v>11</c:v>
                  </c:pt>
                  <c:pt idx="25">
                    <c:v>12</c:v>
                  </c:pt>
                  <c:pt idx="26">
                    <c:v>13</c:v>
                  </c:pt>
                  <c:pt idx="27">
                    <c:v>14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5">
                    <c:v>1</c:v>
                  </c:pt>
                  <c:pt idx="36">
                    <c:v>2</c:v>
                  </c:pt>
                  <c:pt idx="37">
                    <c:v>3</c:v>
                  </c:pt>
                  <c:pt idx="38">
                    <c:v>4</c:v>
                  </c:pt>
                  <c:pt idx="39">
                    <c:v>5</c:v>
                  </c:pt>
                  <c:pt idx="40">
                    <c:v>6</c:v>
                  </c:pt>
                  <c:pt idx="41">
                    <c:v>7</c:v>
                  </c:pt>
                  <c:pt idx="42">
                    <c:v>8</c:v>
                  </c:pt>
                  <c:pt idx="43">
                    <c:v>9</c:v>
                  </c:pt>
                  <c:pt idx="44">
                    <c:v>10</c:v>
                  </c:pt>
                  <c:pt idx="45">
                    <c:v>11</c:v>
                  </c:pt>
                  <c:pt idx="46">
                    <c:v>12</c:v>
                  </c:pt>
                  <c:pt idx="47">
                    <c:v>1</c:v>
                  </c:pt>
                  <c:pt idx="48">
                    <c:v>2</c:v>
                  </c:pt>
                  <c:pt idx="49">
                    <c:v>3</c:v>
                  </c:pt>
                  <c:pt idx="50">
                    <c:v>1</c:v>
                  </c:pt>
                  <c:pt idx="51">
                    <c:v>2</c:v>
                  </c:pt>
                  <c:pt idx="52">
                    <c:v>3</c:v>
                  </c:pt>
                  <c:pt idx="53">
                    <c:v>4</c:v>
                  </c:pt>
                  <c:pt idx="54">
                    <c:v>5</c:v>
                  </c:pt>
                  <c:pt idx="55">
                    <c:v>6</c:v>
                  </c:pt>
                  <c:pt idx="56">
                    <c:v>7</c:v>
                  </c:pt>
                  <c:pt idx="57">
                    <c:v>8</c:v>
                  </c:pt>
                  <c:pt idx="58">
                    <c:v>9</c:v>
                  </c:pt>
                  <c:pt idx="59">
                    <c:v>10</c:v>
                  </c:pt>
                  <c:pt idx="60">
                    <c:v>11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5">
                    <c:v>5</c:v>
                  </c:pt>
                  <c:pt idx="66">
                    <c:v>6</c:v>
                  </c:pt>
                  <c:pt idx="67">
                    <c:v>7</c:v>
                  </c:pt>
                  <c:pt idx="68">
                    <c:v>8</c:v>
                  </c:pt>
                  <c:pt idx="69">
                    <c:v>1</c:v>
                  </c:pt>
                  <c:pt idx="70">
                    <c:v>2</c:v>
                  </c:pt>
                  <c:pt idx="71">
                    <c:v>3</c:v>
                  </c:pt>
                  <c:pt idx="72">
                    <c:v>4</c:v>
                  </c:pt>
                  <c:pt idx="73">
                    <c:v>5</c:v>
                  </c:pt>
                  <c:pt idx="74">
                    <c:v>6</c:v>
                  </c:pt>
                  <c:pt idx="75">
                    <c:v>7</c:v>
                  </c:pt>
                  <c:pt idx="76">
                    <c:v>8</c:v>
                  </c:pt>
                  <c:pt idx="77">
                    <c:v>9</c:v>
                  </c:pt>
                  <c:pt idx="78">
                    <c:v>10</c:v>
                  </c:pt>
                </c:lvl>
                <c:lvl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4</c:v>
                  </c:pt>
                  <c:pt idx="36">
                    <c:v>4</c:v>
                  </c:pt>
                  <c:pt idx="37">
                    <c:v>4</c:v>
                  </c:pt>
                  <c:pt idx="38">
                    <c:v>4</c:v>
                  </c:pt>
                  <c:pt idx="39">
                    <c:v>4</c:v>
                  </c:pt>
                  <c:pt idx="40">
                    <c:v>4</c:v>
                  </c:pt>
                  <c:pt idx="41">
                    <c:v>4</c:v>
                  </c:pt>
                  <c:pt idx="42">
                    <c:v>4</c:v>
                  </c:pt>
                  <c:pt idx="43">
                    <c:v>4</c:v>
                  </c:pt>
                  <c:pt idx="44">
                    <c:v>4</c:v>
                  </c:pt>
                  <c:pt idx="45">
                    <c:v>4</c:v>
                  </c:pt>
                  <c:pt idx="46">
                    <c:v>4</c:v>
                  </c:pt>
                  <c:pt idx="47">
                    <c:v>6</c:v>
                  </c:pt>
                  <c:pt idx="48">
                    <c:v>6</c:v>
                  </c:pt>
                  <c:pt idx="49">
                    <c:v>6</c:v>
                  </c:pt>
                  <c:pt idx="50">
                    <c:v>7</c:v>
                  </c:pt>
                  <c:pt idx="51">
                    <c:v>7</c:v>
                  </c:pt>
                  <c:pt idx="52">
                    <c:v>7</c:v>
                  </c:pt>
                  <c:pt idx="53">
                    <c:v>7</c:v>
                  </c:pt>
                  <c:pt idx="54">
                    <c:v>7</c:v>
                  </c:pt>
                  <c:pt idx="55">
                    <c:v>7</c:v>
                  </c:pt>
                  <c:pt idx="56">
                    <c:v>7</c:v>
                  </c:pt>
                  <c:pt idx="57">
                    <c:v>7</c:v>
                  </c:pt>
                  <c:pt idx="58">
                    <c:v>7</c:v>
                  </c:pt>
                  <c:pt idx="59">
                    <c:v>7</c:v>
                  </c:pt>
                  <c:pt idx="60">
                    <c:v>7</c:v>
                  </c:pt>
                  <c:pt idx="61">
                    <c:v>8</c:v>
                  </c:pt>
                  <c:pt idx="62">
                    <c:v>8</c:v>
                  </c:pt>
                  <c:pt idx="63">
                    <c:v>8</c:v>
                  </c:pt>
                  <c:pt idx="64">
                    <c:v>8</c:v>
                  </c:pt>
                  <c:pt idx="65">
                    <c:v>8</c:v>
                  </c:pt>
                  <c:pt idx="66">
                    <c:v>8</c:v>
                  </c:pt>
                  <c:pt idx="67">
                    <c:v>8</c:v>
                  </c:pt>
                  <c:pt idx="68">
                    <c:v>8</c:v>
                  </c:pt>
                  <c:pt idx="69">
                    <c:v>9</c:v>
                  </c:pt>
                  <c:pt idx="70">
                    <c:v>9</c:v>
                  </c:pt>
                  <c:pt idx="71">
                    <c:v>9</c:v>
                  </c:pt>
                  <c:pt idx="72">
                    <c:v>9</c:v>
                  </c:pt>
                  <c:pt idx="73">
                    <c:v>9</c:v>
                  </c:pt>
                  <c:pt idx="74">
                    <c:v>9</c:v>
                  </c:pt>
                  <c:pt idx="75">
                    <c:v>9</c:v>
                  </c:pt>
                  <c:pt idx="76">
                    <c:v>9</c:v>
                  </c:pt>
                  <c:pt idx="77">
                    <c:v>9</c:v>
                  </c:pt>
                  <c:pt idx="78">
                    <c:v>9</c:v>
                  </c:pt>
                </c:lvl>
              </c:multiLvlStrCache>
            </c:multiLvlStrRef>
          </c:cat>
          <c:val>
            <c:numRef>
              <c:f>'Paradas Ilpea'!$N$5:$N$83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0</c:v>
                </c:pt>
                <c:pt idx="13">
                  <c:v>3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2</c:v>
                </c:pt>
                <c:pt idx="27">
                  <c:v>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3</c:v>
                </c:pt>
                <c:pt idx="63">
                  <c:v>3</c:v>
                </c:pt>
                <c:pt idx="64">
                  <c:v>1</c:v>
                </c:pt>
                <c:pt idx="65">
                  <c:v>0</c:v>
                </c:pt>
                <c:pt idx="66">
                  <c:v>4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2</c:v>
                </c:pt>
                <c:pt idx="76">
                  <c:v>2</c:v>
                </c:pt>
                <c:pt idx="77">
                  <c:v>1</c:v>
                </c:pt>
                <c:pt idx="7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F8-4327-A382-1C6C1E13E0AB}"/>
            </c:ext>
          </c:extLst>
        </c:ser>
        <c:ser>
          <c:idx val="4"/>
          <c:order val="4"/>
          <c:tx>
            <c:strRef>
              <c:f>'Paradas Ilpea'!$O$1:$O$4</c:f>
              <c:strCache>
                <c:ptCount val="4"/>
                <c:pt idx="0">
                  <c:v>CONTROL DE OCUPACION DE USUARIOS POR RUTA</c:v>
                </c:pt>
                <c:pt idx="2">
                  <c:v>Jueves</c:v>
                </c:pt>
                <c:pt idx="3">
                  <c:v>12/03/2026</c:v>
                </c:pt>
              </c:strCache>
            </c:strRef>
          </c:tx>
          <c:invertIfNegative val="0"/>
          <c:cat>
            <c:multiLvlStrRef>
              <c:f>'Paradas Ilpea'!$A$5:$J$83</c:f>
              <c:multiLvlStrCache>
                <c:ptCount val="79"/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1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2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2</c:v>
                  </c:pt>
                  <c:pt idx="64">
                    <c:v>1</c:v>
                  </c:pt>
                  <c:pt idx="65">
                    <c:v>0</c:v>
                  </c:pt>
                  <c:pt idx="66">
                    <c:v>4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3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3</c:v>
                  </c:pt>
                  <c:pt idx="23">
                    <c:v>3</c:v>
                  </c:pt>
                  <c:pt idx="24">
                    <c:v>12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0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1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6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2</c:v>
                  </c:pt>
                  <c:pt idx="20">
                    <c:v>4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6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1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2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10</c:v>
                  </c:pt>
                  <c:pt idx="78">
                    <c:v>7</c:v>
                  </c:pt>
                </c:lvl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2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2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3</c:v>
                  </c:pt>
                  <c:pt idx="64">
                    <c:v>1</c:v>
                  </c:pt>
                  <c:pt idx="65">
                    <c:v>0</c:v>
                  </c:pt>
                  <c:pt idx="66">
                    <c:v>2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4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8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1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2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7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1</c:v>
                  </c:pt>
                  <c:pt idx="20">
                    <c:v>3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7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2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1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9</c:v>
                  </c:pt>
                  <c:pt idx="78">
                    <c:v>7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0">
                    <c:v>7</c:v>
                  </c:pt>
                  <c:pt idx="21">
                    <c:v>8</c:v>
                  </c:pt>
                  <c:pt idx="22">
                    <c:v>9</c:v>
                  </c:pt>
                  <c:pt idx="23">
                    <c:v>10</c:v>
                  </c:pt>
                  <c:pt idx="24">
                    <c:v>11</c:v>
                  </c:pt>
                  <c:pt idx="25">
                    <c:v>12</c:v>
                  </c:pt>
                  <c:pt idx="26">
                    <c:v>13</c:v>
                  </c:pt>
                  <c:pt idx="27">
                    <c:v>14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5">
                    <c:v>1</c:v>
                  </c:pt>
                  <c:pt idx="36">
                    <c:v>2</c:v>
                  </c:pt>
                  <c:pt idx="37">
                    <c:v>3</c:v>
                  </c:pt>
                  <c:pt idx="38">
                    <c:v>4</c:v>
                  </c:pt>
                  <c:pt idx="39">
                    <c:v>5</c:v>
                  </c:pt>
                  <c:pt idx="40">
                    <c:v>6</c:v>
                  </c:pt>
                  <c:pt idx="41">
                    <c:v>7</c:v>
                  </c:pt>
                  <c:pt idx="42">
                    <c:v>8</c:v>
                  </c:pt>
                  <c:pt idx="43">
                    <c:v>9</c:v>
                  </c:pt>
                  <c:pt idx="44">
                    <c:v>10</c:v>
                  </c:pt>
                  <c:pt idx="45">
                    <c:v>11</c:v>
                  </c:pt>
                  <c:pt idx="46">
                    <c:v>12</c:v>
                  </c:pt>
                  <c:pt idx="47">
                    <c:v>1</c:v>
                  </c:pt>
                  <c:pt idx="48">
                    <c:v>2</c:v>
                  </c:pt>
                  <c:pt idx="49">
                    <c:v>3</c:v>
                  </c:pt>
                  <c:pt idx="50">
                    <c:v>1</c:v>
                  </c:pt>
                  <c:pt idx="51">
                    <c:v>2</c:v>
                  </c:pt>
                  <c:pt idx="52">
                    <c:v>3</c:v>
                  </c:pt>
                  <c:pt idx="53">
                    <c:v>4</c:v>
                  </c:pt>
                  <c:pt idx="54">
                    <c:v>5</c:v>
                  </c:pt>
                  <c:pt idx="55">
                    <c:v>6</c:v>
                  </c:pt>
                  <c:pt idx="56">
                    <c:v>7</c:v>
                  </c:pt>
                  <c:pt idx="57">
                    <c:v>8</c:v>
                  </c:pt>
                  <c:pt idx="58">
                    <c:v>9</c:v>
                  </c:pt>
                  <c:pt idx="59">
                    <c:v>10</c:v>
                  </c:pt>
                  <c:pt idx="60">
                    <c:v>11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5">
                    <c:v>5</c:v>
                  </c:pt>
                  <c:pt idx="66">
                    <c:v>6</c:v>
                  </c:pt>
                  <c:pt idx="67">
                    <c:v>7</c:v>
                  </c:pt>
                  <c:pt idx="68">
                    <c:v>8</c:v>
                  </c:pt>
                  <c:pt idx="69">
                    <c:v>1</c:v>
                  </c:pt>
                  <c:pt idx="70">
                    <c:v>2</c:v>
                  </c:pt>
                  <c:pt idx="71">
                    <c:v>3</c:v>
                  </c:pt>
                  <c:pt idx="72">
                    <c:v>4</c:v>
                  </c:pt>
                  <c:pt idx="73">
                    <c:v>5</c:v>
                  </c:pt>
                  <c:pt idx="74">
                    <c:v>6</c:v>
                  </c:pt>
                  <c:pt idx="75">
                    <c:v>7</c:v>
                  </c:pt>
                  <c:pt idx="76">
                    <c:v>8</c:v>
                  </c:pt>
                  <c:pt idx="77">
                    <c:v>9</c:v>
                  </c:pt>
                  <c:pt idx="78">
                    <c:v>10</c:v>
                  </c:pt>
                </c:lvl>
                <c:lvl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4</c:v>
                  </c:pt>
                  <c:pt idx="36">
                    <c:v>4</c:v>
                  </c:pt>
                  <c:pt idx="37">
                    <c:v>4</c:v>
                  </c:pt>
                  <c:pt idx="38">
                    <c:v>4</c:v>
                  </c:pt>
                  <c:pt idx="39">
                    <c:v>4</c:v>
                  </c:pt>
                  <c:pt idx="40">
                    <c:v>4</c:v>
                  </c:pt>
                  <c:pt idx="41">
                    <c:v>4</c:v>
                  </c:pt>
                  <c:pt idx="42">
                    <c:v>4</c:v>
                  </c:pt>
                  <c:pt idx="43">
                    <c:v>4</c:v>
                  </c:pt>
                  <c:pt idx="44">
                    <c:v>4</c:v>
                  </c:pt>
                  <c:pt idx="45">
                    <c:v>4</c:v>
                  </c:pt>
                  <c:pt idx="46">
                    <c:v>4</c:v>
                  </c:pt>
                  <c:pt idx="47">
                    <c:v>6</c:v>
                  </c:pt>
                  <c:pt idx="48">
                    <c:v>6</c:v>
                  </c:pt>
                  <c:pt idx="49">
                    <c:v>6</c:v>
                  </c:pt>
                  <c:pt idx="50">
                    <c:v>7</c:v>
                  </c:pt>
                  <c:pt idx="51">
                    <c:v>7</c:v>
                  </c:pt>
                  <c:pt idx="52">
                    <c:v>7</c:v>
                  </c:pt>
                  <c:pt idx="53">
                    <c:v>7</c:v>
                  </c:pt>
                  <c:pt idx="54">
                    <c:v>7</c:v>
                  </c:pt>
                  <c:pt idx="55">
                    <c:v>7</c:v>
                  </c:pt>
                  <c:pt idx="56">
                    <c:v>7</c:v>
                  </c:pt>
                  <c:pt idx="57">
                    <c:v>7</c:v>
                  </c:pt>
                  <c:pt idx="58">
                    <c:v>7</c:v>
                  </c:pt>
                  <c:pt idx="59">
                    <c:v>7</c:v>
                  </c:pt>
                  <c:pt idx="60">
                    <c:v>7</c:v>
                  </c:pt>
                  <c:pt idx="61">
                    <c:v>8</c:v>
                  </c:pt>
                  <c:pt idx="62">
                    <c:v>8</c:v>
                  </c:pt>
                  <c:pt idx="63">
                    <c:v>8</c:v>
                  </c:pt>
                  <c:pt idx="64">
                    <c:v>8</c:v>
                  </c:pt>
                  <c:pt idx="65">
                    <c:v>8</c:v>
                  </c:pt>
                  <c:pt idx="66">
                    <c:v>8</c:v>
                  </c:pt>
                  <c:pt idx="67">
                    <c:v>8</c:v>
                  </c:pt>
                  <c:pt idx="68">
                    <c:v>8</c:v>
                  </c:pt>
                  <c:pt idx="69">
                    <c:v>9</c:v>
                  </c:pt>
                  <c:pt idx="70">
                    <c:v>9</c:v>
                  </c:pt>
                  <c:pt idx="71">
                    <c:v>9</c:v>
                  </c:pt>
                  <c:pt idx="72">
                    <c:v>9</c:v>
                  </c:pt>
                  <c:pt idx="73">
                    <c:v>9</c:v>
                  </c:pt>
                  <c:pt idx="74">
                    <c:v>9</c:v>
                  </c:pt>
                  <c:pt idx="75">
                    <c:v>9</c:v>
                  </c:pt>
                  <c:pt idx="76">
                    <c:v>9</c:v>
                  </c:pt>
                  <c:pt idx="77">
                    <c:v>9</c:v>
                  </c:pt>
                  <c:pt idx="78">
                    <c:v>9</c:v>
                  </c:pt>
                </c:lvl>
              </c:multiLvlStrCache>
            </c:multiLvlStrRef>
          </c:cat>
          <c:val>
            <c:numRef>
              <c:f>'Paradas Ilpea'!$O$5:$O$83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5</c:v>
                </c:pt>
                <c:pt idx="12">
                  <c:v>3</c:v>
                </c:pt>
                <c:pt idx="13">
                  <c:v>9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4</c:v>
                </c:pt>
                <c:pt idx="21">
                  <c:v>0</c:v>
                </c:pt>
                <c:pt idx="22">
                  <c:v>3</c:v>
                </c:pt>
                <c:pt idx="23">
                  <c:v>3</c:v>
                </c:pt>
                <c:pt idx="24">
                  <c:v>7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0</c:v>
                </c:pt>
                <c:pt idx="29">
                  <c:v>2</c:v>
                </c:pt>
                <c:pt idx="30">
                  <c:v>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2</c:v>
                </c:pt>
                <c:pt idx="63">
                  <c:v>2</c:v>
                </c:pt>
                <c:pt idx="64">
                  <c:v>0</c:v>
                </c:pt>
                <c:pt idx="65">
                  <c:v>5</c:v>
                </c:pt>
                <c:pt idx="66">
                  <c:v>7</c:v>
                </c:pt>
                <c:pt idx="67">
                  <c:v>3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3</c:v>
                </c:pt>
                <c:pt idx="77">
                  <c:v>10</c:v>
                </c:pt>
                <c:pt idx="7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F8-4327-A382-1C6C1E13E0AB}"/>
            </c:ext>
          </c:extLst>
        </c:ser>
        <c:ser>
          <c:idx val="5"/>
          <c:order val="5"/>
          <c:tx>
            <c:strRef>
              <c:f>'Paradas Ilpea'!$P$1:$P$4</c:f>
              <c:strCache>
                <c:ptCount val="4"/>
                <c:pt idx="0">
                  <c:v>CONTROL DE OCUPACION DE USUARIOS POR RUTA</c:v>
                </c:pt>
                <c:pt idx="2">
                  <c:v>Jueves</c:v>
                </c:pt>
                <c:pt idx="3">
                  <c:v>12/03/2026</c:v>
                </c:pt>
              </c:strCache>
            </c:strRef>
          </c:tx>
          <c:invertIfNegative val="0"/>
          <c:cat>
            <c:multiLvlStrRef>
              <c:f>'Paradas Ilpea'!$A$5:$J$83</c:f>
              <c:multiLvlStrCache>
                <c:ptCount val="79"/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1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2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2</c:v>
                  </c:pt>
                  <c:pt idx="64">
                    <c:v>1</c:v>
                  </c:pt>
                  <c:pt idx="65">
                    <c:v>0</c:v>
                  </c:pt>
                  <c:pt idx="66">
                    <c:v>4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3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3</c:v>
                  </c:pt>
                  <c:pt idx="23">
                    <c:v>3</c:v>
                  </c:pt>
                  <c:pt idx="24">
                    <c:v>12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0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1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6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2</c:v>
                  </c:pt>
                  <c:pt idx="20">
                    <c:v>4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6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1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2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10</c:v>
                  </c:pt>
                  <c:pt idx="78">
                    <c:v>7</c:v>
                  </c:pt>
                </c:lvl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2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2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3</c:v>
                  </c:pt>
                  <c:pt idx="64">
                    <c:v>1</c:v>
                  </c:pt>
                  <c:pt idx="65">
                    <c:v>0</c:v>
                  </c:pt>
                  <c:pt idx="66">
                    <c:v>2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4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8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1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2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7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1</c:v>
                  </c:pt>
                  <c:pt idx="20">
                    <c:v>3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7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2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1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9</c:v>
                  </c:pt>
                  <c:pt idx="78">
                    <c:v>7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0">
                    <c:v>7</c:v>
                  </c:pt>
                  <c:pt idx="21">
                    <c:v>8</c:v>
                  </c:pt>
                  <c:pt idx="22">
                    <c:v>9</c:v>
                  </c:pt>
                  <c:pt idx="23">
                    <c:v>10</c:v>
                  </c:pt>
                  <c:pt idx="24">
                    <c:v>11</c:v>
                  </c:pt>
                  <c:pt idx="25">
                    <c:v>12</c:v>
                  </c:pt>
                  <c:pt idx="26">
                    <c:v>13</c:v>
                  </c:pt>
                  <c:pt idx="27">
                    <c:v>14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5">
                    <c:v>1</c:v>
                  </c:pt>
                  <c:pt idx="36">
                    <c:v>2</c:v>
                  </c:pt>
                  <c:pt idx="37">
                    <c:v>3</c:v>
                  </c:pt>
                  <c:pt idx="38">
                    <c:v>4</c:v>
                  </c:pt>
                  <c:pt idx="39">
                    <c:v>5</c:v>
                  </c:pt>
                  <c:pt idx="40">
                    <c:v>6</c:v>
                  </c:pt>
                  <c:pt idx="41">
                    <c:v>7</c:v>
                  </c:pt>
                  <c:pt idx="42">
                    <c:v>8</c:v>
                  </c:pt>
                  <c:pt idx="43">
                    <c:v>9</c:v>
                  </c:pt>
                  <c:pt idx="44">
                    <c:v>10</c:v>
                  </c:pt>
                  <c:pt idx="45">
                    <c:v>11</c:v>
                  </c:pt>
                  <c:pt idx="46">
                    <c:v>12</c:v>
                  </c:pt>
                  <c:pt idx="47">
                    <c:v>1</c:v>
                  </c:pt>
                  <c:pt idx="48">
                    <c:v>2</c:v>
                  </c:pt>
                  <c:pt idx="49">
                    <c:v>3</c:v>
                  </c:pt>
                  <c:pt idx="50">
                    <c:v>1</c:v>
                  </c:pt>
                  <c:pt idx="51">
                    <c:v>2</c:v>
                  </c:pt>
                  <c:pt idx="52">
                    <c:v>3</c:v>
                  </c:pt>
                  <c:pt idx="53">
                    <c:v>4</c:v>
                  </c:pt>
                  <c:pt idx="54">
                    <c:v>5</c:v>
                  </c:pt>
                  <c:pt idx="55">
                    <c:v>6</c:v>
                  </c:pt>
                  <c:pt idx="56">
                    <c:v>7</c:v>
                  </c:pt>
                  <c:pt idx="57">
                    <c:v>8</c:v>
                  </c:pt>
                  <c:pt idx="58">
                    <c:v>9</c:v>
                  </c:pt>
                  <c:pt idx="59">
                    <c:v>10</c:v>
                  </c:pt>
                  <c:pt idx="60">
                    <c:v>11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5">
                    <c:v>5</c:v>
                  </c:pt>
                  <c:pt idx="66">
                    <c:v>6</c:v>
                  </c:pt>
                  <c:pt idx="67">
                    <c:v>7</c:v>
                  </c:pt>
                  <c:pt idx="68">
                    <c:v>8</c:v>
                  </c:pt>
                  <c:pt idx="69">
                    <c:v>1</c:v>
                  </c:pt>
                  <c:pt idx="70">
                    <c:v>2</c:v>
                  </c:pt>
                  <c:pt idx="71">
                    <c:v>3</c:v>
                  </c:pt>
                  <c:pt idx="72">
                    <c:v>4</c:v>
                  </c:pt>
                  <c:pt idx="73">
                    <c:v>5</c:v>
                  </c:pt>
                  <c:pt idx="74">
                    <c:v>6</c:v>
                  </c:pt>
                  <c:pt idx="75">
                    <c:v>7</c:v>
                  </c:pt>
                  <c:pt idx="76">
                    <c:v>8</c:v>
                  </c:pt>
                  <c:pt idx="77">
                    <c:v>9</c:v>
                  </c:pt>
                  <c:pt idx="78">
                    <c:v>10</c:v>
                  </c:pt>
                </c:lvl>
                <c:lvl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4</c:v>
                  </c:pt>
                  <c:pt idx="36">
                    <c:v>4</c:v>
                  </c:pt>
                  <c:pt idx="37">
                    <c:v>4</c:v>
                  </c:pt>
                  <c:pt idx="38">
                    <c:v>4</c:v>
                  </c:pt>
                  <c:pt idx="39">
                    <c:v>4</c:v>
                  </c:pt>
                  <c:pt idx="40">
                    <c:v>4</c:v>
                  </c:pt>
                  <c:pt idx="41">
                    <c:v>4</c:v>
                  </c:pt>
                  <c:pt idx="42">
                    <c:v>4</c:v>
                  </c:pt>
                  <c:pt idx="43">
                    <c:v>4</c:v>
                  </c:pt>
                  <c:pt idx="44">
                    <c:v>4</c:v>
                  </c:pt>
                  <c:pt idx="45">
                    <c:v>4</c:v>
                  </c:pt>
                  <c:pt idx="46">
                    <c:v>4</c:v>
                  </c:pt>
                  <c:pt idx="47">
                    <c:v>6</c:v>
                  </c:pt>
                  <c:pt idx="48">
                    <c:v>6</c:v>
                  </c:pt>
                  <c:pt idx="49">
                    <c:v>6</c:v>
                  </c:pt>
                  <c:pt idx="50">
                    <c:v>7</c:v>
                  </c:pt>
                  <c:pt idx="51">
                    <c:v>7</c:v>
                  </c:pt>
                  <c:pt idx="52">
                    <c:v>7</c:v>
                  </c:pt>
                  <c:pt idx="53">
                    <c:v>7</c:v>
                  </c:pt>
                  <c:pt idx="54">
                    <c:v>7</c:v>
                  </c:pt>
                  <c:pt idx="55">
                    <c:v>7</c:v>
                  </c:pt>
                  <c:pt idx="56">
                    <c:v>7</c:v>
                  </c:pt>
                  <c:pt idx="57">
                    <c:v>7</c:v>
                  </c:pt>
                  <c:pt idx="58">
                    <c:v>7</c:v>
                  </c:pt>
                  <c:pt idx="59">
                    <c:v>7</c:v>
                  </c:pt>
                  <c:pt idx="60">
                    <c:v>7</c:v>
                  </c:pt>
                  <c:pt idx="61">
                    <c:v>8</c:v>
                  </c:pt>
                  <c:pt idx="62">
                    <c:v>8</c:v>
                  </c:pt>
                  <c:pt idx="63">
                    <c:v>8</c:v>
                  </c:pt>
                  <c:pt idx="64">
                    <c:v>8</c:v>
                  </c:pt>
                  <c:pt idx="65">
                    <c:v>8</c:v>
                  </c:pt>
                  <c:pt idx="66">
                    <c:v>8</c:v>
                  </c:pt>
                  <c:pt idx="67">
                    <c:v>8</c:v>
                  </c:pt>
                  <c:pt idx="68">
                    <c:v>8</c:v>
                  </c:pt>
                  <c:pt idx="69">
                    <c:v>9</c:v>
                  </c:pt>
                  <c:pt idx="70">
                    <c:v>9</c:v>
                  </c:pt>
                  <c:pt idx="71">
                    <c:v>9</c:v>
                  </c:pt>
                  <c:pt idx="72">
                    <c:v>9</c:v>
                  </c:pt>
                  <c:pt idx="73">
                    <c:v>9</c:v>
                  </c:pt>
                  <c:pt idx="74">
                    <c:v>9</c:v>
                  </c:pt>
                  <c:pt idx="75">
                    <c:v>9</c:v>
                  </c:pt>
                  <c:pt idx="76">
                    <c:v>9</c:v>
                  </c:pt>
                  <c:pt idx="77">
                    <c:v>9</c:v>
                  </c:pt>
                  <c:pt idx="78">
                    <c:v>9</c:v>
                  </c:pt>
                </c:lvl>
              </c:multiLvlStrCache>
            </c:multiLvlStrRef>
          </c:cat>
          <c:val>
            <c:numRef>
              <c:f>'Paradas Ilpea'!$P$5:$P$83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7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5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3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3</c:v>
                </c:pt>
                <c:pt idx="23">
                  <c:v>3</c:v>
                </c:pt>
                <c:pt idx="24">
                  <c:v>11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4</c:v>
                </c:pt>
                <c:pt idx="64">
                  <c:v>1</c:v>
                </c:pt>
                <c:pt idx="65">
                  <c:v>7</c:v>
                </c:pt>
                <c:pt idx="66">
                  <c:v>6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2</c:v>
                </c:pt>
                <c:pt idx="76">
                  <c:v>0</c:v>
                </c:pt>
                <c:pt idx="77">
                  <c:v>5</c:v>
                </c:pt>
                <c:pt idx="7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1F8-4327-A382-1C6C1E13E0AB}"/>
            </c:ext>
          </c:extLst>
        </c:ser>
        <c:ser>
          <c:idx val="6"/>
          <c:order val="6"/>
          <c:tx>
            <c:strRef>
              <c:f>'Paradas Ilpea'!$Q$1:$Q$4</c:f>
              <c:strCache>
                <c:ptCount val="4"/>
                <c:pt idx="0">
                  <c:v>CONTROL DE OCUPACION DE USUARIOS POR RUTA</c:v>
                </c:pt>
                <c:pt idx="2">
                  <c:v>Jueves</c:v>
                </c:pt>
                <c:pt idx="3">
                  <c:v>12/03/2026</c:v>
                </c:pt>
              </c:strCache>
            </c:strRef>
          </c:tx>
          <c:invertIfNegative val="0"/>
          <c:cat>
            <c:multiLvlStrRef>
              <c:f>'Paradas Ilpea'!$A$5:$J$83</c:f>
              <c:multiLvlStrCache>
                <c:ptCount val="79"/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1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2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2</c:v>
                  </c:pt>
                  <c:pt idx="64">
                    <c:v>1</c:v>
                  </c:pt>
                  <c:pt idx="65">
                    <c:v>0</c:v>
                  </c:pt>
                  <c:pt idx="66">
                    <c:v>4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3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3</c:v>
                  </c:pt>
                  <c:pt idx="23">
                    <c:v>3</c:v>
                  </c:pt>
                  <c:pt idx="24">
                    <c:v>12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0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1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6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2</c:v>
                  </c:pt>
                  <c:pt idx="20">
                    <c:v>4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6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1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2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10</c:v>
                  </c:pt>
                  <c:pt idx="78">
                    <c:v>7</c:v>
                  </c:pt>
                </c:lvl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2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2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3</c:v>
                  </c:pt>
                  <c:pt idx="64">
                    <c:v>1</c:v>
                  </c:pt>
                  <c:pt idx="65">
                    <c:v>0</c:v>
                  </c:pt>
                  <c:pt idx="66">
                    <c:v>2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4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8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1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2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7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1</c:v>
                  </c:pt>
                  <c:pt idx="20">
                    <c:v>3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7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2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1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9</c:v>
                  </c:pt>
                  <c:pt idx="78">
                    <c:v>7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0">
                    <c:v>7</c:v>
                  </c:pt>
                  <c:pt idx="21">
                    <c:v>8</c:v>
                  </c:pt>
                  <c:pt idx="22">
                    <c:v>9</c:v>
                  </c:pt>
                  <c:pt idx="23">
                    <c:v>10</c:v>
                  </c:pt>
                  <c:pt idx="24">
                    <c:v>11</c:v>
                  </c:pt>
                  <c:pt idx="25">
                    <c:v>12</c:v>
                  </c:pt>
                  <c:pt idx="26">
                    <c:v>13</c:v>
                  </c:pt>
                  <c:pt idx="27">
                    <c:v>14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5">
                    <c:v>1</c:v>
                  </c:pt>
                  <c:pt idx="36">
                    <c:v>2</c:v>
                  </c:pt>
                  <c:pt idx="37">
                    <c:v>3</c:v>
                  </c:pt>
                  <c:pt idx="38">
                    <c:v>4</c:v>
                  </c:pt>
                  <c:pt idx="39">
                    <c:v>5</c:v>
                  </c:pt>
                  <c:pt idx="40">
                    <c:v>6</c:v>
                  </c:pt>
                  <c:pt idx="41">
                    <c:v>7</c:v>
                  </c:pt>
                  <c:pt idx="42">
                    <c:v>8</c:v>
                  </c:pt>
                  <c:pt idx="43">
                    <c:v>9</c:v>
                  </c:pt>
                  <c:pt idx="44">
                    <c:v>10</c:v>
                  </c:pt>
                  <c:pt idx="45">
                    <c:v>11</c:v>
                  </c:pt>
                  <c:pt idx="46">
                    <c:v>12</c:v>
                  </c:pt>
                  <c:pt idx="47">
                    <c:v>1</c:v>
                  </c:pt>
                  <c:pt idx="48">
                    <c:v>2</c:v>
                  </c:pt>
                  <c:pt idx="49">
                    <c:v>3</c:v>
                  </c:pt>
                  <c:pt idx="50">
                    <c:v>1</c:v>
                  </c:pt>
                  <c:pt idx="51">
                    <c:v>2</c:v>
                  </c:pt>
                  <c:pt idx="52">
                    <c:v>3</c:v>
                  </c:pt>
                  <c:pt idx="53">
                    <c:v>4</c:v>
                  </c:pt>
                  <c:pt idx="54">
                    <c:v>5</c:v>
                  </c:pt>
                  <c:pt idx="55">
                    <c:v>6</c:v>
                  </c:pt>
                  <c:pt idx="56">
                    <c:v>7</c:v>
                  </c:pt>
                  <c:pt idx="57">
                    <c:v>8</c:v>
                  </c:pt>
                  <c:pt idx="58">
                    <c:v>9</c:v>
                  </c:pt>
                  <c:pt idx="59">
                    <c:v>10</c:v>
                  </c:pt>
                  <c:pt idx="60">
                    <c:v>11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5">
                    <c:v>5</c:v>
                  </c:pt>
                  <c:pt idx="66">
                    <c:v>6</c:v>
                  </c:pt>
                  <c:pt idx="67">
                    <c:v>7</c:v>
                  </c:pt>
                  <c:pt idx="68">
                    <c:v>8</c:v>
                  </c:pt>
                  <c:pt idx="69">
                    <c:v>1</c:v>
                  </c:pt>
                  <c:pt idx="70">
                    <c:v>2</c:v>
                  </c:pt>
                  <c:pt idx="71">
                    <c:v>3</c:v>
                  </c:pt>
                  <c:pt idx="72">
                    <c:v>4</c:v>
                  </c:pt>
                  <c:pt idx="73">
                    <c:v>5</c:v>
                  </c:pt>
                  <c:pt idx="74">
                    <c:v>6</c:v>
                  </c:pt>
                  <c:pt idx="75">
                    <c:v>7</c:v>
                  </c:pt>
                  <c:pt idx="76">
                    <c:v>8</c:v>
                  </c:pt>
                  <c:pt idx="77">
                    <c:v>9</c:v>
                  </c:pt>
                  <c:pt idx="78">
                    <c:v>10</c:v>
                  </c:pt>
                </c:lvl>
                <c:lvl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4</c:v>
                  </c:pt>
                  <c:pt idx="36">
                    <c:v>4</c:v>
                  </c:pt>
                  <c:pt idx="37">
                    <c:v>4</c:v>
                  </c:pt>
                  <c:pt idx="38">
                    <c:v>4</c:v>
                  </c:pt>
                  <c:pt idx="39">
                    <c:v>4</c:v>
                  </c:pt>
                  <c:pt idx="40">
                    <c:v>4</c:v>
                  </c:pt>
                  <c:pt idx="41">
                    <c:v>4</c:v>
                  </c:pt>
                  <c:pt idx="42">
                    <c:v>4</c:v>
                  </c:pt>
                  <c:pt idx="43">
                    <c:v>4</c:v>
                  </c:pt>
                  <c:pt idx="44">
                    <c:v>4</c:v>
                  </c:pt>
                  <c:pt idx="45">
                    <c:v>4</c:v>
                  </c:pt>
                  <c:pt idx="46">
                    <c:v>4</c:v>
                  </c:pt>
                  <c:pt idx="47">
                    <c:v>6</c:v>
                  </c:pt>
                  <c:pt idx="48">
                    <c:v>6</c:v>
                  </c:pt>
                  <c:pt idx="49">
                    <c:v>6</c:v>
                  </c:pt>
                  <c:pt idx="50">
                    <c:v>7</c:v>
                  </c:pt>
                  <c:pt idx="51">
                    <c:v>7</c:v>
                  </c:pt>
                  <c:pt idx="52">
                    <c:v>7</c:v>
                  </c:pt>
                  <c:pt idx="53">
                    <c:v>7</c:v>
                  </c:pt>
                  <c:pt idx="54">
                    <c:v>7</c:v>
                  </c:pt>
                  <c:pt idx="55">
                    <c:v>7</c:v>
                  </c:pt>
                  <c:pt idx="56">
                    <c:v>7</c:v>
                  </c:pt>
                  <c:pt idx="57">
                    <c:v>7</c:v>
                  </c:pt>
                  <c:pt idx="58">
                    <c:v>7</c:v>
                  </c:pt>
                  <c:pt idx="59">
                    <c:v>7</c:v>
                  </c:pt>
                  <c:pt idx="60">
                    <c:v>7</c:v>
                  </c:pt>
                  <c:pt idx="61">
                    <c:v>8</c:v>
                  </c:pt>
                  <c:pt idx="62">
                    <c:v>8</c:v>
                  </c:pt>
                  <c:pt idx="63">
                    <c:v>8</c:v>
                  </c:pt>
                  <c:pt idx="64">
                    <c:v>8</c:v>
                  </c:pt>
                  <c:pt idx="65">
                    <c:v>8</c:v>
                  </c:pt>
                  <c:pt idx="66">
                    <c:v>8</c:v>
                  </c:pt>
                  <c:pt idx="67">
                    <c:v>8</c:v>
                  </c:pt>
                  <c:pt idx="68">
                    <c:v>8</c:v>
                  </c:pt>
                  <c:pt idx="69">
                    <c:v>9</c:v>
                  </c:pt>
                  <c:pt idx="70">
                    <c:v>9</c:v>
                  </c:pt>
                  <c:pt idx="71">
                    <c:v>9</c:v>
                  </c:pt>
                  <c:pt idx="72">
                    <c:v>9</c:v>
                  </c:pt>
                  <c:pt idx="73">
                    <c:v>9</c:v>
                  </c:pt>
                  <c:pt idx="74">
                    <c:v>9</c:v>
                  </c:pt>
                  <c:pt idx="75">
                    <c:v>9</c:v>
                  </c:pt>
                  <c:pt idx="76">
                    <c:v>9</c:v>
                  </c:pt>
                  <c:pt idx="77">
                    <c:v>9</c:v>
                  </c:pt>
                  <c:pt idx="78">
                    <c:v>9</c:v>
                  </c:pt>
                </c:lvl>
              </c:multiLvlStrCache>
            </c:multiLvlStrRef>
          </c:cat>
          <c:val>
            <c:numRef>
              <c:f>'Paradas Ilpea'!$Q$5:$Q$83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F8-4327-A382-1C6C1E13E0AB}"/>
            </c:ext>
          </c:extLst>
        </c:ser>
        <c:ser>
          <c:idx val="7"/>
          <c:order val="7"/>
          <c:tx>
            <c:strRef>
              <c:f>'Paradas Ilpea'!$R$1:$R$4</c:f>
              <c:strCache>
                <c:ptCount val="4"/>
                <c:pt idx="0">
                  <c:v>CONTROL DE OCUPACION DE USUARIOS POR RUTA</c:v>
                </c:pt>
                <c:pt idx="2">
                  <c:v>Jueves</c:v>
                </c:pt>
                <c:pt idx="3">
                  <c:v>12/03/2026</c:v>
                </c:pt>
              </c:strCache>
            </c:strRef>
          </c:tx>
          <c:invertIfNegative val="0"/>
          <c:cat>
            <c:multiLvlStrRef>
              <c:f>'Paradas Ilpea'!$A$5:$J$83</c:f>
              <c:multiLvlStrCache>
                <c:ptCount val="79"/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1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2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2</c:v>
                  </c:pt>
                  <c:pt idx="64">
                    <c:v>1</c:v>
                  </c:pt>
                  <c:pt idx="65">
                    <c:v>0</c:v>
                  </c:pt>
                  <c:pt idx="66">
                    <c:v>4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3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3</c:v>
                  </c:pt>
                  <c:pt idx="23">
                    <c:v>3</c:v>
                  </c:pt>
                  <c:pt idx="24">
                    <c:v>12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0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1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6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2</c:v>
                  </c:pt>
                  <c:pt idx="20">
                    <c:v>4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6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1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2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10</c:v>
                  </c:pt>
                  <c:pt idx="78">
                    <c:v>7</c:v>
                  </c:pt>
                </c:lvl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2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2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3</c:v>
                  </c:pt>
                  <c:pt idx="64">
                    <c:v>1</c:v>
                  </c:pt>
                  <c:pt idx="65">
                    <c:v>0</c:v>
                  </c:pt>
                  <c:pt idx="66">
                    <c:v>2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4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8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1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2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7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1</c:v>
                  </c:pt>
                  <c:pt idx="20">
                    <c:v>3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7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2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1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9</c:v>
                  </c:pt>
                  <c:pt idx="78">
                    <c:v>7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0">
                    <c:v>7</c:v>
                  </c:pt>
                  <c:pt idx="21">
                    <c:v>8</c:v>
                  </c:pt>
                  <c:pt idx="22">
                    <c:v>9</c:v>
                  </c:pt>
                  <c:pt idx="23">
                    <c:v>10</c:v>
                  </c:pt>
                  <c:pt idx="24">
                    <c:v>11</c:v>
                  </c:pt>
                  <c:pt idx="25">
                    <c:v>12</c:v>
                  </c:pt>
                  <c:pt idx="26">
                    <c:v>13</c:v>
                  </c:pt>
                  <c:pt idx="27">
                    <c:v>14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5">
                    <c:v>1</c:v>
                  </c:pt>
                  <c:pt idx="36">
                    <c:v>2</c:v>
                  </c:pt>
                  <c:pt idx="37">
                    <c:v>3</c:v>
                  </c:pt>
                  <c:pt idx="38">
                    <c:v>4</c:v>
                  </c:pt>
                  <c:pt idx="39">
                    <c:v>5</c:v>
                  </c:pt>
                  <c:pt idx="40">
                    <c:v>6</c:v>
                  </c:pt>
                  <c:pt idx="41">
                    <c:v>7</c:v>
                  </c:pt>
                  <c:pt idx="42">
                    <c:v>8</c:v>
                  </c:pt>
                  <c:pt idx="43">
                    <c:v>9</c:v>
                  </c:pt>
                  <c:pt idx="44">
                    <c:v>10</c:v>
                  </c:pt>
                  <c:pt idx="45">
                    <c:v>11</c:v>
                  </c:pt>
                  <c:pt idx="46">
                    <c:v>12</c:v>
                  </c:pt>
                  <c:pt idx="47">
                    <c:v>1</c:v>
                  </c:pt>
                  <c:pt idx="48">
                    <c:v>2</c:v>
                  </c:pt>
                  <c:pt idx="49">
                    <c:v>3</c:v>
                  </c:pt>
                  <c:pt idx="50">
                    <c:v>1</c:v>
                  </c:pt>
                  <c:pt idx="51">
                    <c:v>2</c:v>
                  </c:pt>
                  <c:pt idx="52">
                    <c:v>3</c:v>
                  </c:pt>
                  <c:pt idx="53">
                    <c:v>4</c:v>
                  </c:pt>
                  <c:pt idx="54">
                    <c:v>5</c:v>
                  </c:pt>
                  <c:pt idx="55">
                    <c:v>6</c:v>
                  </c:pt>
                  <c:pt idx="56">
                    <c:v>7</c:v>
                  </c:pt>
                  <c:pt idx="57">
                    <c:v>8</c:v>
                  </c:pt>
                  <c:pt idx="58">
                    <c:v>9</c:v>
                  </c:pt>
                  <c:pt idx="59">
                    <c:v>10</c:v>
                  </c:pt>
                  <c:pt idx="60">
                    <c:v>11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5">
                    <c:v>5</c:v>
                  </c:pt>
                  <c:pt idx="66">
                    <c:v>6</c:v>
                  </c:pt>
                  <c:pt idx="67">
                    <c:v>7</c:v>
                  </c:pt>
                  <c:pt idx="68">
                    <c:v>8</c:v>
                  </c:pt>
                  <c:pt idx="69">
                    <c:v>1</c:v>
                  </c:pt>
                  <c:pt idx="70">
                    <c:v>2</c:v>
                  </c:pt>
                  <c:pt idx="71">
                    <c:v>3</c:v>
                  </c:pt>
                  <c:pt idx="72">
                    <c:v>4</c:v>
                  </c:pt>
                  <c:pt idx="73">
                    <c:v>5</c:v>
                  </c:pt>
                  <c:pt idx="74">
                    <c:v>6</c:v>
                  </c:pt>
                  <c:pt idx="75">
                    <c:v>7</c:v>
                  </c:pt>
                  <c:pt idx="76">
                    <c:v>8</c:v>
                  </c:pt>
                  <c:pt idx="77">
                    <c:v>9</c:v>
                  </c:pt>
                  <c:pt idx="78">
                    <c:v>10</c:v>
                  </c:pt>
                </c:lvl>
                <c:lvl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4</c:v>
                  </c:pt>
                  <c:pt idx="36">
                    <c:v>4</c:v>
                  </c:pt>
                  <c:pt idx="37">
                    <c:v>4</c:v>
                  </c:pt>
                  <c:pt idx="38">
                    <c:v>4</c:v>
                  </c:pt>
                  <c:pt idx="39">
                    <c:v>4</c:v>
                  </c:pt>
                  <c:pt idx="40">
                    <c:v>4</c:v>
                  </c:pt>
                  <c:pt idx="41">
                    <c:v>4</c:v>
                  </c:pt>
                  <c:pt idx="42">
                    <c:v>4</c:v>
                  </c:pt>
                  <c:pt idx="43">
                    <c:v>4</c:v>
                  </c:pt>
                  <c:pt idx="44">
                    <c:v>4</c:v>
                  </c:pt>
                  <c:pt idx="45">
                    <c:v>4</c:v>
                  </c:pt>
                  <c:pt idx="46">
                    <c:v>4</c:v>
                  </c:pt>
                  <c:pt idx="47">
                    <c:v>6</c:v>
                  </c:pt>
                  <c:pt idx="48">
                    <c:v>6</c:v>
                  </c:pt>
                  <c:pt idx="49">
                    <c:v>6</c:v>
                  </c:pt>
                  <c:pt idx="50">
                    <c:v>7</c:v>
                  </c:pt>
                  <c:pt idx="51">
                    <c:v>7</c:v>
                  </c:pt>
                  <c:pt idx="52">
                    <c:v>7</c:v>
                  </c:pt>
                  <c:pt idx="53">
                    <c:v>7</c:v>
                  </c:pt>
                  <c:pt idx="54">
                    <c:v>7</c:v>
                  </c:pt>
                  <c:pt idx="55">
                    <c:v>7</c:v>
                  </c:pt>
                  <c:pt idx="56">
                    <c:v>7</c:v>
                  </c:pt>
                  <c:pt idx="57">
                    <c:v>7</c:v>
                  </c:pt>
                  <c:pt idx="58">
                    <c:v>7</c:v>
                  </c:pt>
                  <c:pt idx="59">
                    <c:v>7</c:v>
                  </c:pt>
                  <c:pt idx="60">
                    <c:v>7</c:v>
                  </c:pt>
                  <c:pt idx="61">
                    <c:v>8</c:v>
                  </c:pt>
                  <c:pt idx="62">
                    <c:v>8</c:v>
                  </c:pt>
                  <c:pt idx="63">
                    <c:v>8</c:v>
                  </c:pt>
                  <c:pt idx="64">
                    <c:v>8</c:v>
                  </c:pt>
                  <c:pt idx="65">
                    <c:v>8</c:v>
                  </c:pt>
                  <c:pt idx="66">
                    <c:v>8</c:v>
                  </c:pt>
                  <c:pt idx="67">
                    <c:v>8</c:v>
                  </c:pt>
                  <c:pt idx="68">
                    <c:v>8</c:v>
                  </c:pt>
                  <c:pt idx="69">
                    <c:v>9</c:v>
                  </c:pt>
                  <c:pt idx="70">
                    <c:v>9</c:v>
                  </c:pt>
                  <c:pt idx="71">
                    <c:v>9</c:v>
                  </c:pt>
                  <c:pt idx="72">
                    <c:v>9</c:v>
                  </c:pt>
                  <c:pt idx="73">
                    <c:v>9</c:v>
                  </c:pt>
                  <c:pt idx="74">
                    <c:v>9</c:v>
                  </c:pt>
                  <c:pt idx="75">
                    <c:v>9</c:v>
                  </c:pt>
                  <c:pt idx="76">
                    <c:v>9</c:v>
                  </c:pt>
                  <c:pt idx="77">
                    <c:v>9</c:v>
                  </c:pt>
                  <c:pt idx="78">
                    <c:v>9</c:v>
                  </c:pt>
                </c:lvl>
              </c:multiLvlStrCache>
            </c:multiLvlStrRef>
          </c:cat>
          <c:val>
            <c:numRef>
              <c:f>'Paradas Ilpea'!$R$5:$R$83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0</c:v>
                </c:pt>
                <c:pt idx="13">
                  <c:v>3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2</c:v>
                </c:pt>
                <c:pt idx="27">
                  <c:v>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3</c:v>
                </c:pt>
                <c:pt idx="63">
                  <c:v>3</c:v>
                </c:pt>
                <c:pt idx="64">
                  <c:v>1</c:v>
                </c:pt>
                <c:pt idx="65">
                  <c:v>0</c:v>
                </c:pt>
                <c:pt idx="66">
                  <c:v>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2</c:v>
                </c:pt>
                <c:pt idx="76">
                  <c:v>2</c:v>
                </c:pt>
                <c:pt idx="77">
                  <c:v>1</c:v>
                </c:pt>
                <c:pt idx="7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1F8-4327-A382-1C6C1E13E0AB}"/>
            </c:ext>
          </c:extLst>
        </c:ser>
        <c:ser>
          <c:idx val="8"/>
          <c:order val="8"/>
          <c:tx>
            <c:strRef>
              <c:f>'Paradas Ilpea'!$S$1:$S$4</c:f>
              <c:strCache>
                <c:ptCount val="4"/>
                <c:pt idx="0">
                  <c:v>CONTROL DE OCUPACION DE USUARIOS POR RUTA</c:v>
                </c:pt>
                <c:pt idx="2">
                  <c:v>Viernes</c:v>
                </c:pt>
                <c:pt idx="3">
                  <c:v>13/03/2026</c:v>
                </c:pt>
              </c:strCache>
            </c:strRef>
          </c:tx>
          <c:invertIfNegative val="0"/>
          <c:cat>
            <c:multiLvlStrRef>
              <c:f>'Paradas Ilpea'!$A$5:$J$83</c:f>
              <c:multiLvlStrCache>
                <c:ptCount val="79"/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1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2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2</c:v>
                  </c:pt>
                  <c:pt idx="64">
                    <c:v>1</c:v>
                  </c:pt>
                  <c:pt idx="65">
                    <c:v>0</c:v>
                  </c:pt>
                  <c:pt idx="66">
                    <c:v>4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3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3</c:v>
                  </c:pt>
                  <c:pt idx="23">
                    <c:v>3</c:v>
                  </c:pt>
                  <c:pt idx="24">
                    <c:v>12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0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1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6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2</c:v>
                  </c:pt>
                  <c:pt idx="20">
                    <c:v>4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6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1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2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10</c:v>
                  </c:pt>
                  <c:pt idx="78">
                    <c:v>7</c:v>
                  </c:pt>
                </c:lvl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2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2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3</c:v>
                  </c:pt>
                  <c:pt idx="64">
                    <c:v>1</c:v>
                  </c:pt>
                  <c:pt idx="65">
                    <c:v>0</c:v>
                  </c:pt>
                  <c:pt idx="66">
                    <c:v>2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4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8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1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2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7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1</c:v>
                  </c:pt>
                  <c:pt idx="20">
                    <c:v>3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7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2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1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9</c:v>
                  </c:pt>
                  <c:pt idx="78">
                    <c:v>7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0">
                    <c:v>7</c:v>
                  </c:pt>
                  <c:pt idx="21">
                    <c:v>8</c:v>
                  </c:pt>
                  <c:pt idx="22">
                    <c:v>9</c:v>
                  </c:pt>
                  <c:pt idx="23">
                    <c:v>10</c:v>
                  </c:pt>
                  <c:pt idx="24">
                    <c:v>11</c:v>
                  </c:pt>
                  <c:pt idx="25">
                    <c:v>12</c:v>
                  </c:pt>
                  <c:pt idx="26">
                    <c:v>13</c:v>
                  </c:pt>
                  <c:pt idx="27">
                    <c:v>14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5">
                    <c:v>1</c:v>
                  </c:pt>
                  <c:pt idx="36">
                    <c:v>2</c:v>
                  </c:pt>
                  <c:pt idx="37">
                    <c:v>3</c:v>
                  </c:pt>
                  <c:pt idx="38">
                    <c:v>4</c:v>
                  </c:pt>
                  <c:pt idx="39">
                    <c:v>5</c:v>
                  </c:pt>
                  <c:pt idx="40">
                    <c:v>6</c:v>
                  </c:pt>
                  <c:pt idx="41">
                    <c:v>7</c:v>
                  </c:pt>
                  <c:pt idx="42">
                    <c:v>8</c:v>
                  </c:pt>
                  <c:pt idx="43">
                    <c:v>9</c:v>
                  </c:pt>
                  <c:pt idx="44">
                    <c:v>10</c:v>
                  </c:pt>
                  <c:pt idx="45">
                    <c:v>11</c:v>
                  </c:pt>
                  <c:pt idx="46">
                    <c:v>12</c:v>
                  </c:pt>
                  <c:pt idx="47">
                    <c:v>1</c:v>
                  </c:pt>
                  <c:pt idx="48">
                    <c:v>2</c:v>
                  </c:pt>
                  <c:pt idx="49">
                    <c:v>3</c:v>
                  </c:pt>
                  <c:pt idx="50">
                    <c:v>1</c:v>
                  </c:pt>
                  <c:pt idx="51">
                    <c:v>2</c:v>
                  </c:pt>
                  <c:pt idx="52">
                    <c:v>3</c:v>
                  </c:pt>
                  <c:pt idx="53">
                    <c:v>4</c:v>
                  </c:pt>
                  <c:pt idx="54">
                    <c:v>5</c:v>
                  </c:pt>
                  <c:pt idx="55">
                    <c:v>6</c:v>
                  </c:pt>
                  <c:pt idx="56">
                    <c:v>7</c:v>
                  </c:pt>
                  <c:pt idx="57">
                    <c:v>8</c:v>
                  </c:pt>
                  <c:pt idx="58">
                    <c:v>9</c:v>
                  </c:pt>
                  <c:pt idx="59">
                    <c:v>10</c:v>
                  </c:pt>
                  <c:pt idx="60">
                    <c:v>11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5">
                    <c:v>5</c:v>
                  </c:pt>
                  <c:pt idx="66">
                    <c:v>6</c:v>
                  </c:pt>
                  <c:pt idx="67">
                    <c:v>7</c:v>
                  </c:pt>
                  <c:pt idx="68">
                    <c:v>8</c:v>
                  </c:pt>
                  <c:pt idx="69">
                    <c:v>1</c:v>
                  </c:pt>
                  <c:pt idx="70">
                    <c:v>2</c:v>
                  </c:pt>
                  <c:pt idx="71">
                    <c:v>3</c:v>
                  </c:pt>
                  <c:pt idx="72">
                    <c:v>4</c:v>
                  </c:pt>
                  <c:pt idx="73">
                    <c:v>5</c:v>
                  </c:pt>
                  <c:pt idx="74">
                    <c:v>6</c:v>
                  </c:pt>
                  <c:pt idx="75">
                    <c:v>7</c:v>
                  </c:pt>
                  <c:pt idx="76">
                    <c:v>8</c:v>
                  </c:pt>
                  <c:pt idx="77">
                    <c:v>9</c:v>
                  </c:pt>
                  <c:pt idx="78">
                    <c:v>10</c:v>
                  </c:pt>
                </c:lvl>
                <c:lvl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4</c:v>
                  </c:pt>
                  <c:pt idx="36">
                    <c:v>4</c:v>
                  </c:pt>
                  <c:pt idx="37">
                    <c:v>4</c:v>
                  </c:pt>
                  <c:pt idx="38">
                    <c:v>4</c:v>
                  </c:pt>
                  <c:pt idx="39">
                    <c:v>4</c:v>
                  </c:pt>
                  <c:pt idx="40">
                    <c:v>4</c:v>
                  </c:pt>
                  <c:pt idx="41">
                    <c:v>4</c:v>
                  </c:pt>
                  <c:pt idx="42">
                    <c:v>4</c:v>
                  </c:pt>
                  <c:pt idx="43">
                    <c:v>4</c:v>
                  </c:pt>
                  <c:pt idx="44">
                    <c:v>4</c:v>
                  </c:pt>
                  <c:pt idx="45">
                    <c:v>4</c:v>
                  </c:pt>
                  <c:pt idx="46">
                    <c:v>4</c:v>
                  </c:pt>
                  <c:pt idx="47">
                    <c:v>6</c:v>
                  </c:pt>
                  <c:pt idx="48">
                    <c:v>6</c:v>
                  </c:pt>
                  <c:pt idx="49">
                    <c:v>6</c:v>
                  </c:pt>
                  <c:pt idx="50">
                    <c:v>7</c:v>
                  </c:pt>
                  <c:pt idx="51">
                    <c:v>7</c:v>
                  </c:pt>
                  <c:pt idx="52">
                    <c:v>7</c:v>
                  </c:pt>
                  <c:pt idx="53">
                    <c:v>7</c:v>
                  </c:pt>
                  <c:pt idx="54">
                    <c:v>7</c:v>
                  </c:pt>
                  <c:pt idx="55">
                    <c:v>7</c:v>
                  </c:pt>
                  <c:pt idx="56">
                    <c:v>7</c:v>
                  </c:pt>
                  <c:pt idx="57">
                    <c:v>7</c:v>
                  </c:pt>
                  <c:pt idx="58">
                    <c:v>7</c:v>
                  </c:pt>
                  <c:pt idx="59">
                    <c:v>7</c:v>
                  </c:pt>
                  <c:pt idx="60">
                    <c:v>7</c:v>
                  </c:pt>
                  <c:pt idx="61">
                    <c:v>8</c:v>
                  </c:pt>
                  <c:pt idx="62">
                    <c:v>8</c:v>
                  </c:pt>
                  <c:pt idx="63">
                    <c:v>8</c:v>
                  </c:pt>
                  <c:pt idx="64">
                    <c:v>8</c:v>
                  </c:pt>
                  <c:pt idx="65">
                    <c:v>8</c:v>
                  </c:pt>
                  <c:pt idx="66">
                    <c:v>8</c:v>
                  </c:pt>
                  <c:pt idx="67">
                    <c:v>8</c:v>
                  </c:pt>
                  <c:pt idx="68">
                    <c:v>8</c:v>
                  </c:pt>
                  <c:pt idx="69">
                    <c:v>9</c:v>
                  </c:pt>
                  <c:pt idx="70">
                    <c:v>9</c:v>
                  </c:pt>
                  <c:pt idx="71">
                    <c:v>9</c:v>
                  </c:pt>
                  <c:pt idx="72">
                    <c:v>9</c:v>
                  </c:pt>
                  <c:pt idx="73">
                    <c:v>9</c:v>
                  </c:pt>
                  <c:pt idx="74">
                    <c:v>9</c:v>
                  </c:pt>
                  <c:pt idx="75">
                    <c:v>9</c:v>
                  </c:pt>
                  <c:pt idx="76">
                    <c:v>9</c:v>
                  </c:pt>
                  <c:pt idx="77">
                    <c:v>9</c:v>
                  </c:pt>
                  <c:pt idx="78">
                    <c:v>9</c:v>
                  </c:pt>
                </c:lvl>
              </c:multiLvlStrCache>
            </c:multiLvlStrRef>
          </c:cat>
          <c:val>
            <c:numRef>
              <c:f>'Paradas Ilpea'!$S$5:$S$83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5</c:v>
                </c:pt>
                <c:pt idx="12">
                  <c:v>3</c:v>
                </c:pt>
                <c:pt idx="13">
                  <c:v>9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5</c:v>
                </c:pt>
                <c:pt idx="21">
                  <c:v>0</c:v>
                </c:pt>
                <c:pt idx="22">
                  <c:v>3</c:v>
                </c:pt>
                <c:pt idx="23">
                  <c:v>4</c:v>
                </c:pt>
                <c:pt idx="24">
                  <c:v>7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0</c:v>
                </c:pt>
                <c:pt idx="29">
                  <c:v>2</c:v>
                </c:pt>
                <c:pt idx="30">
                  <c:v>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2</c:v>
                </c:pt>
                <c:pt idx="63">
                  <c:v>2</c:v>
                </c:pt>
                <c:pt idx="64">
                  <c:v>0</c:v>
                </c:pt>
                <c:pt idx="65">
                  <c:v>5</c:v>
                </c:pt>
                <c:pt idx="66">
                  <c:v>7</c:v>
                </c:pt>
                <c:pt idx="67">
                  <c:v>3</c:v>
                </c:pt>
                <c:pt idx="68">
                  <c:v>1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3</c:v>
                </c:pt>
                <c:pt idx="77">
                  <c:v>10</c:v>
                </c:pt>
                <c:pt idx="7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1F8-4327-A382-1C6C1E13E0AB}"/>
            </c:ext>
          </c:extLst>
        </c:ser>
        <c:ser>
          <c:idx val="9"/>
          <c:order val="9"/>
          <c:tx>
            <c:strRef>
              <c:f>'Paradas Ilpea'!$T$1:$T$4</c:f>
              <c:strCache>
                <c:ptCount val="4"/>
                <c:pt idx="0">
                  <c:v>CONTROL DE OCUPACION DE USUARIOS POR RUTA</c:v>
                </c:pt>
                <c:pt idx="2">
                  <c:v>Viernes</c:v>
                </c:pt>
                <c:pt idx="3">
                  <c:v>13/03/2026</c:v>
                </c:pt>
              </c:strCache>
            </c:strRef>
          </c:tx>
          <c:invertIfNegative val="0"/>
          <c:cat>
            <c:multiLvlStrRef>
              <c:f>'Paradas Ilpea'!$A$5:$J$83</c:f>
              <c:multiLvlStrCache>
                <c:ptCount val="79"/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1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2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2</c:v>
                  </c:pt>
                  <c:pt idx="64">
                    <c:v>1</c:v>
                  </c:pt>
                  <c:pt idx="65">
                    <c:v>0</c:v>
                  </c:pt>
                  <c:pt idx="66">
                    <c:v>4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3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3</c:v>
                  </c:pt>
                  <c:pt idx="23">
                    <c:v>3</c:v>
                  </c:pt>
                  <c:pt idx="24">
                    <c:v>12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0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1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6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2</c:v>
                  </c:pt>
                  <c:pt idx="20">
                    <c:v>4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6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1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2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10</c:v>
                  </c:pt>
                  <c:pt idx="78">
                    <c:v>7</c:v>
                  </c:pt>
                </c:lvl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2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2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3</c:v>
                  </c:pt>
                  <c:pt idx="64">
                    <c:v>1</c:v>
                  </c:pt>
                  <c:pt idx="65">
                    <c:v>0</c:v>
                  </c:pt>
                  <c:pt idx="66">
                    <c:v>2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4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8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1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2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7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1</c:v>
                  </c:pt>
                  <c:pt idx="20">
                    <c:v>3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7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2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1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9</c:v>
                  </c:pt>
                  <c:pt idx="78">
                    <c:v>7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0">
                    <c:v>7</c:v>
                  </c:pt>
                  <c:pt idx="21">
                    <c:v>8</c:v>
                  </c:pt>
                  <c:pt idx="22">
                    <c:v>9</c:v>
                  </c:pt>
                  <c:pt idx="23">
                    <c:v>10</c:v>
                  </c:pt>
                  <c:pt idx="24">
                    <c:v>11</c:v>
                  </c:pt>
                  <c:pt idx="25">
                    <c:v>12</c:v>
                  </c:pt>
                  <c:pt idx="26">
                    <c:v>13</c:v>
                  </c:pt>
                  <c:pt idx="27">
                    <c:v>14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5">
                    <c:v>1</c:v>
                  </c:pt>
                  <c:pt idx="36">
                    <c:v>2</c:v>
                  </c:pt>
                  <c:pt idx="37">
                    <c:v>3</c:v>
                  </c:pt>
                  <c:pt idx="38">
                    <c:v>4</c:v>
                  </c:pt>
                  <c:pt idx="39">
                    <c:v>5</c:v>
                  </c:pt>
                  <c:pt idx="40">
                    <c:v>6</c:v>
                  </c:pt>
                  <c:pt idx="41">
                    <c:v>7</c:v>
                  </c:pt>
                  <c:pt idx="42">
                    <c:v>8</c:v>
                  </c:pt>
                  <c:pt idx="43">
                    <c:v>9</c:v>
                  </c:pt>
                  <c:pt idx="44">
                    <c:v>10</c:v>
                  </c:pt>
                  <c:pt idx="45">
                    <c:v>11</c:v>
                  </c:pt>
                  <c:pt idx="46">
                    <c:v>12</c:v>
                  </c:pt>
                  <c:pt idx="47">
                    <c:v>1</c:v>
                  </c:pt>
                  <c:pt idx="48">
                    <c:v>2</c:v>
                  </c:pt>
                  <c:pt idx="49">
                    <c:v>3</c:v>
                  </c:pt>
                  <c:pt idx="50">
                    <c:v>1</c:v>
                  </c:pt>
                  <c:pt idx="51">
                    <c:v>2</c:v>
                  </c:pt>
                  <c:pt idx="52">
                    <c:v>3</c:v>
                  </c:pt>
                  <c:pt idx="53">
                    <c:v>4</c:v>
                  </c:pt>
                  <c:pt idx="54">
                    <c:v>5</c:v>
                  </c:pt>
                  <c:pt idx="55">
                    <c:v>6</c:v>
                  </c:pt>
                  <c:pt idx="56">
                    <c:v>7</c:v>
                  </c:pt>
                  <c:pt idx="57">
                    <c:v>8</c:v>
                  </c:pt>
                  <c:pt idx="58">
                    <c:v>9</c:v>
                  </c:pt>
                  <c:pt idx="59">
                    <c:v>10</c:v>
                  </c:pt>
                  <c:pt idx="60">
                    <c:v>11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5">
                    <c:v>5</c:v>
                  </c:pt>
                  <c:pt idx="66">
                    <c:v>6</c:v>
                  </c:pt>
                  <c:pt idx="67">
                    <c:v>7</c:v>
                  </c:pt>
                  <c:pt idx="68">
                    <c:v>8</c:v>
                  </c:pt>
                  <c:pt idx="69">
                    <c:v>1</c:v>
                  </c:pt>
                  <c:pt idx="70">
                    <c:v>2</c:v>
                  </c:pt>
                  <c:pt idx="71">
                    <c:v>3</c:v>
                  </c:pt>
                  <c:pt idx="72">
                    <c:v>4</c:v>
                  </c:pt>
                  <c:pt idx="73">
                    <c:v>5</c:v>
                  </c:pt>
                  <c:pt idx="74">
                    <c:v>6</c:v>
                  </c:pt>
                  <c:pt idx="75">
                    <c:v>7</c:v>
                  </c:pt>
                  <c:pt idx="76">
                    <c:v>8</c:v>
                  </c:pt>
                  <c:pt idx="77">
                    <c:v>9</c:v>
                  </c:pt>
                  <c:pt idx="78">
                    <c:v>10</c:v>
                  </c:pt>
                </c:lvl>
                <c:lvl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4</c:v>
                  </c:pt>
                  <c:pt idx="36">
                    <c:v>4</c:v>
                  </c:pt>
                  <c:pt idx="37">
                    <c:v>4</c:v>
                  </c:pt>
                  <c:pt idx="38">
                    <c:v>4</c:v>
                  </c:pt>
                  <c:pt idx="39">
                    <c:v>4</c:v>
                  </c:pt>
                  <c:pt idx="40">
                    <c:v>4</c:v>
                  </c:pt>
                  <c:pt idx="41">
                    <c:v>4</c:v>
                  </c:pt>
                  <c:pt idx="42">
                    <c:v>4</c:v>
                  </c:pt>
                  <c:pt idx="43">
                    <c:v>4</c:v>
                  </c:pt>
                  <c:pt idx="44">
                    <c:v>4</c:v>
                  </c:pt>
                  <c:pt idx="45">
                    <c:v>4</c:v>
                  </c:pt>
                  <c:pt idx="46">
                    <c:v>4</c:v>
                  </c:pt>
                  <c:pt idx="47">
                    <c:v>6</c:v>
                  </c:pt>
                  <c:pt idx="48">
                    <c:v>6</c:v>
                  </c:pt>
                  <c:pt idx="49">
                    <c:v>6</c:v>
                  </c:pt>
                  <c:pt idx="50">
                    <c:v>7</c:v>
                  </c:pt>
                  <c:pt idx="51">
                    <c:v>7</c:v>
                  </c:pt>
                  <c:pt idx="52">
                    <c:v>7</c:v>
                  </c:pt>
                  <c:pt idx="53">
                    <c:v>7</c:v>
                  </c:pt>
                  <c:pt idx="54">
                    <c:v>7</c:v>
                  </c:pt>
                  <c:pt idx="55">
                    <c:v>7</c:v>
                  </c:pt>
                  <c:pt idx="56">
                    <c:v>7</c:v>
                  </c:pt>
                  <c:pt idx="57">
                    <c:v>7</c:v>
                  </c:pt>
                  <c:pt idx="58">
                    <c:v>7</c:v>
                  </c:pt>
                  <c:pt idx="59">
                    <c:v>7</c:v>
                  </c:pt>
                  <c:pt idx="60">
                    <c:v>7</c:v>
                  </c:pt>
                  <c:pt idx="61">
                    <c:v>8</c:v>
                  </c:pt>
                  <c:pt idx="62">
                    <c:v>8</c:v>
                  </c:pt>
                  <c:pt idx="63">
                    <c:v>8</c:v>
                  </c:pt>
                  <c:pt idx="64">
                    <c:v>8</c:v>
                  </c:pt>
                  <c:pt idx="65">
                    <c:v>8</c:v>
                  </c:pt>
                  <c:pt idx="66">
                    <c:v>8</c:v>
                  </c:pt>
                  <c:pt idx="67">
                    <c:v>8</c:v>
                  </c:pt>
                  <c:pt idx="68">
                    <c:v>8</c:v>
                  </c:pt>
                  <c:pt idx="69">
                    <c:v>9</c:v>
                  </c:pt>
                  <c:pt idx="70">
                    <c:v>9</c:v>
                  </c:pt>
                  <c:pt idx="71">
                    <c:v>9</c:v>
                  </c:pt>
                  <c:pt idx="72">
                    <c:v>9</c:v>
                  </c:pt>
                  <c:pt idx="73">
                    <c:v>9</c:v>
                  </c:pt>
                  <c:pt idx="74">
                    <c:v>9</c:v>
                  </c:pt>
                  <c:pt idx="75">
                    <c:v>9</c:v>
                  </c:pt>
                  <c:pt idx="76">
                    <c:v>9</c:v>
                  </c:pt>
                  <c:pt idx="77">
                    <c:v>9</c:v>
                  </c:pt>
                  <c:pt idx="78">
                    <c:v>9</c:v>
                  </c:pt>
                </c:lvl>
              </c:multiLvlStrCache>
            </c:multiLvlStrRef>
          </c:cat>
          <c:val>
            <c:numRef>
              <c:f>'Paradas Ilpea'!$T$5:$T$83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7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5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3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3</c:v>
                </c:pt>
                <c:pt idx="23">
                  <c:v>3</c:v>
                </c:pt>
                <c:pt idx="24">
                  <c:v>12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4</c:v>
                </c:pt>
                <c:pt idx="64">
                  <c:v>1</c:v>
                </c:pt>
                <c:pt idx="65">
                  <c:v>7</c:v>
                </c:pt>
                <c:pt idx="66">
                  <c:v>6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2</c:v>
                </c:pt>
                <c:pt idx="76">
                  <c:v>0</c:v>
                </c:pt>
                <c:pt idx="77">
                  <c:v>5</c:v>
                </c:pt>
                <c:pt idx="7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1F8-4327-A382-1C6C1E13E0AB}"/>
            </c:ext>
          </c:extLst>
        </c:ser>
        <c:ser>
          <c:idx val="10"/>
          <c:order val="10"/>
          <c:tx>
            <c:strRef>
              <c:f>'Paradas Ilpea'!$U$1:$U$4</c:f>
              <c:strCache>
                <c:ptCount val="4"/>
                <c:pt idx="0">
                  <c:v>CONTROL DE OCUPACION DE USUARIOS POR RUTA</c:v>
                </c:pt>
                <c:pt idx="2">
                  <c:v>Viernes</c:v>
                </c:pt>
                <c:pt idx="3">
                  <c:v>13/03/2026</c:v>
                </c:pt>
              </c:strCache>
            </c:strRef>
          </c:tx>
          <c:invertIfNegative val="0"/>
          <c:cat>
            <c:multiLvlStrRef>
              <c:f>'Paradas Ilpea'!$A$5:$J$83</c:f>
              <c:multiLvlStrCache>
                <c:ptCount val="79"/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1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2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2</c:v>
                  </c:pt>
                  <c:pt idx="64">
                    <c:v>1</c:v>
                  </c:pt>
                  <c:pt idx="65">
                    <c:v>0</c:v>
                  </c:pt>
                  <c:pt idx="66">
                    <c:v>4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3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3</c:v>
                  </c:pt>
                  <c:pt idx="23">
                    <c:v>3</c:v>
                  </c:pt>
                  <c:pt idx="24">
                    <c:v>12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0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1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6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2</c:v>
                  </c:pt>
                  <c:pt idx="20">
                    <c:v>4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6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1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2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10</c:v>
                  </c:pt>
                  <c:pt idx="78">
                    <c:v>7</c:v>
                  </c:pt>
                </c:lvl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2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2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3</c:v>
                  </c:pt>
                  <c:pt idx="64">
                    <c:v>1</c:v>
                  </c:pt>
                  <c:pt idx="65">
                    <c:v>0</c:v>
                  </c:pt>
                  <c:pt idx="66">
                    <c:v>2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4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8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1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2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7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1</c:v>
                  </c:pt>
                  <c:pt idx="20">
                    <c:v>3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7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2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1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9</c:v>
                  </c:pt>
                  <c:pt idx="78">
                    <c:v>7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0">
                    <c:v>7</c:v>
                  </c:pt>
                  <c:pt idx="21">
                    <c:v>8</c:v>
                  </c:pt>
                  <c:pt idx="22">
                    <c:v>9</c:v>
                  </c:pt>
                  <c:pt idx="23">
                    <c:v>10</c:v>
                  </c:pt>
                  <c:pt idx="24">
                    <c:v>11</c:v>
                  </c:pt>
                  <c:pt idx="25">
                    <c:v>12</c:v>
                  </c:pt>
                  <c:pt idx="26">
                    <c:v>13</c:v>
                  </c:pt>
                  <c:pt idx="27">
                    <c:v>14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5">
                    <c:v>1</c:v>
                  </c:pt>
                  <c:pt idx="36">
                    <c:v>2</c:v>
                  </c:pt>
                  <c:pt idx="37">
                    <c:v>3</c:v>
                  </c:pt>
                  <c:pt idx="38">
                    <c:v>4</c:v>
                  </c:pt>
                  <c:pt idx="39">
                    <c:v>5</c:v>
                  </c:pt>
                  <c:pt idx="40">
                    <c:v>6</c:v>
                  </c:pt>
                  <c:pt idx="41">
                    <c:v>7</c:v>
                  </c:pt>
                  <c:pt idx="42">
                    <c:v>8</c:v>
                  </c:pt>
                  <c:pt idx="43">
                    <c:v>9</c:v>
                  </c:pt>
                  <c:pt idx="44">
                    <c:v>10</c:v>
                  </c:pt>
                  <c:pt idx="45">
                    <c:v>11</c:v>
                  </c:pt>
                  <c:pt idx="46">
                    <c:v>12</c:v>
                  </c:pt>
                  <c:pt idx="47">
                    <c:v>1</c:v>
                  </c:pt>
                  <c:pt idx="48">
                    <c:v>2</c:v>
                  </c:pt>
                  <c:pt idx="49">
                    <c:v>3</c:v>
                  </c:pt>
                  <c:pt idx="50">
                    <c:v>1</c:v>
                  </c:pt>
                  <c:pt idx="51">
                    <c:v>2</c:v>
                  </c:pt>
                  <c:pt idx="52">
                    <c:v>3</c:v>
                  </c:pt>
                  <c:pt idx="53">
                    <c:v>4</c:v>
                  </c:pt>
                  <c:pt idx="54">
                    <c:v>5</c:v>
                  </c:pt>
                  <c:pt idx="55">
                    <c:v>6</c:v>
                  </c:pt>
                  <c:pt idx="56">
                    <c:v>7</c:v>
                  </c:pt>
                  <c:pt idx="57">
                    <c:v>8</c:v>
                  </c:pt>
                  <c:pt idx="58">
                    <c:v>9</c:v>
                  </c:pt>
                  <c:pt idx="59">
                    <c:v>10</c:v>
                  </c:pt>
                  <c:pt idx="60">
                    <c:v>11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5">
                    <c:v>5</c:v>
                  </c:pt>
                  <c:pt idx="66">
                    <c:v>6</c:v>
                  </c:pt>
                  <c:pt idx="67">
                    <c:v>7</c:v>
                  </c:pt>
                  <c:pt idx="68">
                    <c:v>8</c:v>
                  </c:pt>
                  <c:pt idx="69">
                    <c:v>1</c:v>
                  </c:pt>
                  <c:pt idx="70">
                    <c:v>2</c:v>
                  </c:pt>
                  <c:pt idx="71">
                    <c:v>3</c:v>
                  </c:pt>
                  <c:pt idx="72">
                    <c:v>4</c:v>
                  </c:pt>
                  <c:pt idx="73">
                    <c:v>5</c:v>
                  </c:pt>
                  <c:pt idx="74">
                    <c:v>6</c:v>
                  </c:pt>
                  <c:pt idx="75">
                    <c:v>7</c:v>
                  </c:pt>
                  <c:pt idx="76">
                    <c:v>8</c:v>
                  </c:pt>
                  <c:pt idx="77">
                    <c:v>9</c:v>
                  </c:pt>
                  <c:pt idx="78">
                    <c:v>10</c:v>
                  </c:pt>
                </c:lvl>
                <c:lvl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4</c:v>
                  </c:pt>
                  <c:pt idx="36">
                    <c:v>4</c:v>
                  </c:pt>
                  <c:pt idx="37">
                    <c:v>4</c:v>
                  </c:pt>
                  <c:pt idx="38">
                    <c:v>4</c:v>
                  </c:pt>
                  <c:pt idx="39">
                    <c:v>4</c:v>
                  </c:pt>
                  <c:pt idx="40">
                    <c:v>4</c:v>
                  </c:pt>
                  <c:pt idx="41">
                    <c:v>4</c:v>
                  </c:pt>
                  <c:pt idx="42">
                    <c:v>4</c:v>
                  </c:pt>
                  <c:pt idx="43">
                    <c:v>4</c:v>
                  </c:pt>
                  <c:pt idx="44">
                    <c:v>4</c:v>
                  </c:pt>
                  <c:pt idx="45">
                    <c:v>4</c:v>
                  </c:pt>
                  <c:pt idx="46">
                    <c:v>4</c:v>
                  </c:pt>
                  <c:pt idx="47">
                    <c:v>6</c:v>
                  </c:pt>
                  <c:pt idx="48">
                    <c:v>6</c:v>
                  </c:pt>
                  <c:pt idx="49">
                    <c:v>6</c:v>
                  </c:pt>
                  <c:pt idx="50">
                    <c:v>7</c:v>
                  </c:pt>
                  <c:pt idx="51">
                    <c:v>7</c:v>
                  </c:pt>
                  <c:pt idx="52">
                    <c:v>7</c:v>
                  </c:pt>
                  <c:pt idx="53">
                    <c:v>7</c:v>
                  </c:pt>
                  <c:pt idx="54">
                    <c:v>7</c:v>
                  </c:pt>
                  <c:pt idx="55">
                    <c:v>7</c:v>
                  </c:pt>
                  <c:pt idx="56">
                    <c:v>7</c:v>
                  </c:pt>
                  <c:pt idx="57">
                    <c:v>7</c:v>
                  </c:pt>
                  <c:pt idx="58">
                    <c:v>7</c:v>
                  </c:pt>
                  <c:pt idx="59">
                    <c:v>7</c:v>
                  </c:pt>
                  <c:pt idx="60">
                    <c:v>7</c:v>
                  </c:pt>
                  <c:pt idx="61">
                    <c:v>8</c:v>
                  </c:pt>
                  <c:pt idx="62">
                    <c:v>8</c:v>
                  </c:pt>
                  <c:pt idx="63">
                    <c:v>8</c:v>
                  </c:pt>
                  <c:pt idx="64">
                    <c:v>8</c:v>
                  </c:pt>
                  <c:pt idx="65">
                    <c:v>8</c:v>
                  </c:pt>
                  <c:pt idx="66">
                    <c:v>8</c:v>
                  </c:pt>
                  <c:pt idx="67">
                    <c:v>8</c:v>
                  </c:pt>
                  <c:pt idx="68">
                    <c:v>8</c:v>
                  </c:pt>
                  <c:pt idx="69">
                    <c:v>9</c:v>
                  </c:pt>
                  <c:pt idx="70">
                    <c:v>9</c:v>
                  </c:pt>
                  <c:pt idx="71">
                    <c:v>9</c:v>
                  </c:pt>
                  <c:pt idx="72">
                    <c:v>9</c:v>
                  </c:pt>
                  <c:pt idx="73">
                    <c:v>9</c:v>
                  </c:pt>
                  <c:pt idx="74">
                    <c:v>9</c:v>
                  </c:pt>
                  <c:pt idx="75">
                    <c:v>9</c:v>
                  </c:pt>
                  <c:pt idx="76">
                    <c:v>9</c:v>
                  </c:pt>
                  <c:pt idx="77">
                    <c:v>9</c:v>
                  </c:pt>
                  <c:pt idx="78">
                    <c:v>9</c:v>
                  </c:pt>
                </c:lvl>
              </c:multiLvlStrCache>
            </c:multiLvlStrRef>
          </c:cat>
          <c:val>
            <c:numRef>
              <c:f>'Paradas Ilpea'!$U$5:$U$83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1F8-4327-A382-1C6C1E13E0AB}"/>
            </c:ext>
          </c:extLst>
        </c:ser>
        <c:ser>
          <c:idx val="11"/>
          <c:order val="11"/>
          <c:tx>
            <c:strRef>
              <c:f>'Paradas Ilpea'!$V$1:$V$4</c:f>
              <c:strCache>
                <c:ptCount val="4"/>
                <c:pt idx="0">
                  <c:v>CONTROL DE OCUPACION DE USUARIOS POR RUTA</c:v>
                </c:pt>
                <c:pt idx="2">
                  <c:v>Viernes</c:v>
                </c:pt>
                <c:pt idx="3">
                  <c:v>13/03/2026</c:v>
                </c:pt>
              </c:strCache>
            </c:strRef>
          </c:tx>
          <c:invertIfNegative val="0"/>
          <c:cat>
            <c:multiLvlStrRef>
              <c:f>'Paradas Ilpea'!$A$5:$J$83</c:f>
              <c:multiLvlStrCache>
                <c:ptCount val="79"/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1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2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2</c:v>
                  </c:pt>
                  <c:pt idx="64">
                    <c:v>1</c:v>
                  </c:pt>
                  <c:pt idx="65">
                    <c:v>0</c:v>
                  </c:pt>
                  <c:pt idx="66">
                    <c:v>4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3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3</c:v>
                  </c:pt>
                  <c:pt idx="23">
                    <c:v>3</c:v>
                  </c:pt>
                  <c:pt idx="24">
                    <c:v>12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0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1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6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2</c:v>
                  </c:pt>
                  <c:pt idx="20">
                    <c:v>4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6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1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2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10</c:v>
                  </c:pt>
                  <c:pt idx="78">
                    <c:v>7</c:v>
                  </c:pt>
                </c:lvl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2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2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3</c:v>
                  </c:pt>
                  <c:pt idx="64">
                    <c:v>1</c:v>
                  </c:pt>
                  <c:pt idx="65">
                    <c:v>0</c:v>
                  </c:pt>
                  <c:pt idx="66">
                    <c:v>2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4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8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1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2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7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1</c:v>
                  </c:pt>
                  <c:pt idx="20">
                    <c:v>3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7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2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1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9</c:v>
                  </c:pt>
                  <c:pt idx="78">
                    <c:v>7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0">
                    <c:v>7</c:v>
                  </c:pt>
                  <c:pt idx="21">
                    <c:v>8</c:v>
                  </c:pt>
                  <c:pt idx="22">
                    <c:v>9</c:v>
                  </c:pt>
                  <c:pt idx="23">
                    <c:v>10</c:v>
                  </c:pt>
                  <c:pt idx="24">
                    <c:v>11</c:v>
                  </c:pt>
                  <c:pt idx="25">
                    <c:v>12</c:v>
                  </c:pt>
                  <c:pt idx="26">
                    <c:v>13</c:v>
                  </c:pt>
                  <c:pt idx="27">
                    <c:v>14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5">
                    <c:v>1</c:v>
                  </c:pt>
                  <c:pt idx="36">
                    <c:v>2</c:v>
                  </c:pt>
                  <c:pt idx="37">
                    <c:v>3</c:v>
                  </c:pt>
                  <c:pt idx="38">
                    <c:v>4</c:v>
                  </c:pt>
                  <c:pt idx="39">
                    <c:v>5</c:v>
                  </c:pt>
                  <c:pt idx="40">
                    <c:v>6</c:v>
                  </c:pt>
                  <c:pt idx="41">
                    <c:v>7</c:v>
                  </c:pt>
                  <c:pt idx="42">
                    <c:v>8</c:v>
                  </c:pt>
                  <c:pt idx="43">
                    <c:v>9</c:v>
                  </c:pt>
                  <c:pt idx="44">
                    <c:v>10</c:v>
                  </c:pt>
                  <c:pt idx="45">
                    <c:v>11</c:v>
                  </c:pt>
                  <c:pt idx="46">
                    <c:v>12</c:v>
                  </c:pt>
                  <c:pt idx="47">
                    <c:v>1</c:v>
                  </c:pt>
                  <c:pt idx="48">
                    <c:v>2</c:v>
                  </c:pt>
                  <c:pt idx="49">
                    <c:v>3</c:v>
                  </c:pt>
                  <c:pt idx="50">
                    <c:v>1</c:v>
                  </c:pt>
                  <c:pt idx="51">
                    <c:v>2</c:v>
                  </c:pt>
                  <c:pt idx="52">
                    <c:v>3</c:v>
                  </c:pt>
                  <c:pt idx="53">
                    <c:v>4</c:v>
                  </c:pt>
                  <c:pt idx="54">
                    <c:v>5</c:v>
                  </c:pt>
                  <c:pt idx="55">
                    <c:v>6</c:v>
                  </c:pt>
                  <c:pt idx="56">
                    <c:v>7</c:v>
                  </c:pt>
                  <c:pt idx="57">
                    <c:v>8</c:v>
                  </c:pt>
                  <c:pt idx="58">
                    <c:v>9</c:v>
                  </c:pt>
                  <c:pt idx="59">
                    <c:v>10</c:v>
                  </c:pt>
                  <c:pt idx="60">
                    <c:v>11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5">
                    <c:v>5</c:v>
                  </c:pt>
                  <c:pt idx="66">
                    <c:v>6</c:v>
                  </c:pt>
                  <c:pt idx="67">
                    <c:v>7</c:v>
                  </c:pt>
                  <c:pt idx="68">
                    <c:v>8</c:v>
                  </c:pt>
                  <c:pt idx="69">
                    <c:v>1</c:v>
                  </c:pt>
                  <c:pt idx="70">
                    <c:v>2</c:v>
                  </c:pt>
                  <c:pt idx="71">
                    <c:v>3</c:v>
                  </c:pt>
                  <c:pt idx="72">
                    <c:v>4</c:v>
                  </c:pt>
                  <c:pt idx="73">
                    <c:v>5</c:v>
                  </c:pt>
                  <c:pt idx="74">
                    <c:v>6</c:v>
                  </c:pt>
                  <c:pt idx="75">
                    <c:v>7</c:v>
                  </c:pt>
                  <c:pt idx="76">
                    <c:v>8</c:v>
                  </c:pt>
                  <c:pt idx="77">
                    <c:v>9</c:v>
                  </c:pt>
                  <c:pt idx="78">
                    <c:v>10</c:v>
                  </c:pt>
                </c:lvl>
                <c:lvl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4</c:v>
                  </c:pt>
                  <c:pt idx="36">
                    <c:v>4</c:v>
                  </c:pt>
                  <c:pt idx="37">
                    <c:v>4</c:v>
                  </c:pt>
                  <c:pt idx="38">
                    <c:v>4</c:v>
                  </c:pt>
                  <c:pt idx="39">
                    <c:v>4</c:v>
                  </c:pt>
                  <c:pt idx="40">
                    <c:v>4</c:v>
                  </c:pt>
                  <c:pt idx="41">
                    <c:v>4</c:v>
                  </c:pt>
                  <c:pt idx="42">
                    <c:v>4</c:v>
                  </c:pt>
                  <c:pt idx="43">
                    <c:v>4</c:v>
                  </c:pt>
                  <c:pt idx="44">
                    <c:v>4</c:v>
                  </c:pt>
                  <c:pt idx="45">
                    <c:v>4</c:v>
                  </c:pt>
                  <c:pt idx="46">
                    <c:v>4</c:v>
                  </c:pt>
                  <c:pt idx="47">
                    <c:v>6</c:v>
                  </c:pt>
                  <c:pt idx="48">
                    <c:v>6</c:v>
                  </c:pt>
                  <c:pt idx="49">
                    <c:v>6</c:v>
                  </c:pt>
                  <c:pt idx="50">
                    <c:v>7</c:v>
                  </c:pt>
                  <c:pt idx="51">
                    <c:v>7</c:v>
                  </c:pt>
                  <c:pt idx="52">
                    <c:v>7</c:v>
                  </c:pt>
                  <c:pt idx="53">
                    <c:v>7</c:v>
                  </c:pt>
                  <c:pt idx="54">
                    <c:v>7</c:v>
                  </c:pt>
                  <c:pt idx="55">
                    <c:v>7</c:v>
                  </c:pt>
                  <c:pt idx="56">
                    <c:v>7</c:v>
                  </c:pt>
                  <c:pt idx="57">
                    <c:v>7</c:v>
                  </c:pt>
                  <c:pt idx="58">
                    <c:v>7</c:v>
                  </c:pt>
                  <c:pt idx="59">
                    <c:v>7</c:v>
                  </c:pt>
                  <c:pt idx="60">
                    <c:v>7</c:v>
                  </c:pt>
                  <c:pt idx="61">
                    <c:v>8</c:v>
                  </c:pt>
                  <c:pt idx="62">
                    <c:v>8</c:v>
                  </c:pt>
                  <c:pt idx="63">
                    <c:v>8</c:v>
                  </c:pt>
                  <c:pt idx="64">
                    <c:v>8</c:v>
                  </c:pt>
                  <c:pt idx="65">
                    <c:v>8</c:v>
                  </c:pt>
                  <c:pt idx="66">
                    <c:v>8</c:v>
                  </c:pt>
                  <c:pt idx="67">
                    <c:v>8</c:v>
                  </c:pt>
                  <c:pt idx="68">
                    <c:v>8</c:v>
                  </c:pt>
                  <c:pt idx="69">
                    <c:v>9</c:v>
                  </c:pt>
                  <c:pt idx="70">
                    <c:v>9</c:v>
                  </c:pt>
                  <c:pt idx="71">
                    <c:v>9</c:v>
                  </c:pt>
                  <c:pt idx="72">
                    <c:v>9</c:v>
                  </c:pt>
                  <c:pt idx="73">
                    <c:v>9</c:v>
                  </c:pt>
                  <c:pt idx="74">
                    <c:v>9</c:v>
                  </c:pt>
                  <c:pt idx="75">
                    <c:v>9</c:v>
                  </c:pt>
                  <c:pt idx="76">
                    <c:v>9</c:v>
                  </c:pt>
                  <c:pt idx="77">
                    <c:v>9</c:v>
                  </c:pt>
                  <c:pt idx="78">
                    <c:v>9</c:v>
                  </c:pt>
                </c:lvl>
              </c:multiLvlStrCache>
            </c:multiLvlStrRef>
          </c:cat>
          <c:val>
            <c:numRef>
              <c:f>'Paradas Ilpea'!$V$5:$V$83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0</c:v>
                </c:pt>
                <c:pt idx="13">
                  <c:v>3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2</c:v>
                </c:pt>
                <c:pt idx="27">
                  <c:v>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3</c:v>
                </c:pt>
                <c:pt idx="63">
                  <c:v>3</c:v>
                </c:pt>
                <c:pt idx="64">
                  <c:v>1</c:v>
                </c:pt>
                <c:pt idx="65">
                  <c:v>0</c:v>
                </c:pt>
                <c:pt idx="66">
                  <c:v>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2</c:v>
                </c:pt>
                <c:pt idx="76">
                  <c:v>2</c:v>
                </c:pt>
                <c:pt idx="77">
                  <c:v>1</c:v>
                </c:pt>
                <c:pt idx="7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1F8-4327-A382-1C6C1E13E0AB}"/>
            </c:ext>
          </c:extLst>
        </c:ser>
        <c:ser>
          <c:idx val="12"/>
          <c:order val="12"/>
          <c:tx>
            <c:strRef>
              <c:f>'Paradas Ilpea'!$W$1:$W$4</c:f>
              <c:strCache>
                <c:ptCount val="4"/>
                <c:pt idx="0">
                  <c:v>CONTROL DE OCUPACION DE USUARIOS POR RUTA</c:v>
                </c:pt>
                <c:pt idx="2">
                  <c:v>Sábado</c:v>
                </c:pt>
                <c:pt idx="3">
                  <c:v>14/03/2026</c:v>
                </c:pt>
              </c:strCache>
            </c:strRef>
          </c:tx>
          <c:invertIfNegative val="0"/>
          <c:cat>
            <c:multiLvlStrRef>
              <c:f>'Paradas Ilpea'!$A$5:$J$83</c:f>
              <c:multiLvlStrCache>
                <c:ptCount val="79"/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1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2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2</c:v>
                  </c:pt>
                  <c:pt idx="64">
                    <c:v>1</c:v>
                  </c:pt>
                  <c:pt idx="65">
                    <c:v>0</c:v>
                  </c:pt>
                  <c:pt idx="66">
                    <c:v>4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3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3</c:v>
                  </c:pt>
                  <c:pt idx="23">
                    <c:v>3</c:v>
                  </c:pt>
                  <c:pt idx="24">
                    <c:v>12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0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1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6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2</c:v>
                  </c:pt>
                  <c:pt idx="20">
                    <c:v>4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6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1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2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10</c:v>
                  </c:pt>
                  <c:pt idx="78">
                    <c:v>7</c:v>
                  </c:pt>
                </c:lvl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2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2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3</c:v>
                  </c:pt>
                  <c:pt idx="64">
                    <c:v>1</c:v>
                  </c:pt>
                  <c:pt idx="65">
                    <c:v>0</c:v>
                  </c:pt>
                  <c:pt idx="66">
                    <c:v>2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4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8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1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2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7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1</c:v>
                  </c:pt>
                  <c:pt idx="20">
                    <c:v>3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7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2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1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9</c:v>
                  </c:pt>
                  <c:pt idx="78">
                    <c:v>7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0">
                    <c:v>7</c:v>
                  </c:pt>
                  <c:pt idx="21">
                    <c:v>8</c:v>
                  </c:pt>
                  <c:pt idx="22">
                    <c:v>9</c:v>
                  </c:pt>
                  <c:pt idx="23">
                    <c:v>10</c:v>
                  </c:pt>
                  <c:pt idx="24">
                    <c:v>11</c:v>
                  </c:pt>
                  <c:pt idx="25">
                    <c:v>12</c:v>
                  </c:pt>
                  <c:pt idx="26">
                    <c:v>13</c:v>
                  </c:pt>
                  <c:pt idx="27">
                    <c:v>14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5">
                    <c:v>1</c:v>
                  </c:pt>
                  <c:pt idx="36">
                    <c:v>2</c:v>
                  </c:pt>
                  <c:pt idx="37">
                    <c:v>3</c:v>
                  </c:pt>
                  <c:pt idx="38">
                    <c:v>4</c:v>
                  </c:pt>
                  <c:pt idx="39">
                    <c:v>5</c:v>
                  </c:pt>
                  <c:pt idx="40">
                    <c:v>6</c:v>
                  </c:pt>
                  <c:pt idx="41">
                    <c:v>7</c:v>
                  </c:pt>
                  <c:pt idx="42">
                    <c:v>8</c:v>
                  </c:pt>
                  <c:pt idx="43">
                    <c:v>9</c:v>
                  </c:pt>
                  <c:pt idx="44">
                    <c:v>10</c:v>
                  </c:pt>
                  <c:pt idx="45">
                    <c:v>11</c:v>
                  </c:pt>
                  <c:pt idx="46">
                    <c:v>12</c:v>
                  </c:pt>
                  <c:pt idx="47">
                    <c:v>1</c:v>
                  </c:pt>
                  <c:pt idx="48">
                    <c:v>2</c:v>
                  </c:pt>
                  <c:pt idx="49">
                    <c:v>3</c:v>
                  </c:pt>
                  <c:pt idx="50">
                    <c:v>1</c:v>
                  </c:pt>
                  <c:pt idx="51">
                    <c:v>2</c:v>
                  </c:pt>
                  <c:pt idx="52">
                    <c:v>3</c:v>
                  </c:pt>
                  <c:pt idx="53">
                    <c:v>4</c:v>
                  </c:pt>
                  <c:pt idx="54">
                    <c:v>5</c:v>
                  </c:pt>
                  <c:pt idx="55">
                    <c:v>6</c:v>
                  </c:pt>
                  <c:pt idx="56">
                    <c:v>7</c:v>
                  </c:pt>
                  <c:pt idx="57">
                    <c:v>8</c:v>
                  </c:pt>
                  <c:pt idx="58">
                    <c:v>9</c:v>
                  </c:pt>
                  <c:pt idx="59">
                    <c:v>10</c:v>
                  </c:pt>
                  <c:pt idx="60">
                    <c:v>11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5">
                    <c:v>5</c:v>
                  </c:pt>
                  <c:pt idx="66">
                    <c:v>6</c:v>
                  </c:pt>
                  <c:pt idx="67">
                    <c:v>7</c:v>
                  </c:pt>
                  <c:pt idx="68">
                    <c:v>8</c:v>
                  </c:pt>
                  <c:pt idx="69">
                    <c:v>1</c:v>
                  </c:pt>
                  <c:pt idx="70">
                    <c:v>2</c:v>
                  </c:pt>
                  <c:pt idx="71">
                    <c:v>3</c:v>
                  </c:pt>
                  <c:pt idx="72">
                    <c:v>4</c:v>
                  </c:pt>
                  <c:pt idx="73">
                    <c:v>5</c:v>
                  </c:pt>
                  <c:pt idx="74">
                    <c:v>6</c:v>
                  </c:pt>
                  <c:pt idx="75">
                    <c:v>7</c:v>
                  </c:pt>
                  <c:pt idx="76">
                    <c:v>8</c:v>
                  </c:pt>
                  <c:pt idx="77">
                    <c:v>9</c:v>
                  </c:pt>
                  <c:pt idx="78">
                    <c:v>10</c:v>
                  </c:pt>
                </c:lvl>
                <c:lvl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4</c:v>
                  </c:pt>
                  <c:pt idx="36">
                    <c:v>4</c:v>
                  </c:pt>
                  <c:pt idx="37">
                    <c:v>4</c:v>
                  </c:pt>
                  <c:pt idx="38">
                    <c:v>4</c:v>
                  </c:pt>
                  <c:pt idx="39">
                    <c:v>4</c:v>
                  </c:pt>
                  <c:pt idx="40">
                    <c:v>4</c:v>
                  </c:pt>
                  <c:pt idx="41">
                    <c:v>4</c:v>
                  </c:pt>
                  <c:pt idx="42">
                    <c:v>4</c:v>
                  </c:pt>
                  <c:pt idx="43">
                    <c:v>4</c:v>
                  </c:pt>
                  <c:pt idx="44">
                    <c:v>4</c:v>
                  </c:pt>
                  <c:pt idx="45">
                    <c:v>4</c:v>
                  </c:pt>
                  <c:pt idx="46">
                    <c:v>4</c:v>
                  </c:pt>
                  <c:pt idx="47">
                    <c:v>6</c:v>
                  </c:pt>
                  <c:pt idx="48">
                    <c:v>6</c:v>
                  </c:pt>
                  <c:pt idx="49">
                    <c:v>6</c:v>
                  </c:pt>
                  <c:pt idx="50">
                    <c:v>7</c:v>
                  </c:pt>
                  <c:pt idx="51">
                    <c:v>7</c:v>
                  </c:pt>
                  <c:pt idx="52">
                    <c:v>7</c:v>
                  </c:pt>
                  <c:pt idx="53">
                    <c:v>7</c:v>
                  </c:pt>
                  <c:pt idx="54">
                    <c:v>7</c:v>
                  </c:pt>
                  <c:pt idx="55">
                    <c:v>7</c:v>
                  </c:pt>
                  <c:pt idx="56">
                    <c:v>7</c:v>
                  </c:pt>
                  <c:pt idx="57">
                    <c:v>7</c:v>
                  </c:pt>
                  <c:pt idx="58">
                    <c:v>7</c:v>
                  </c:pt>
                  <c:pt idx="59">
                    <c:v>7</c:v>
                  </c:pt>
                  <c:pt idx="60">
                    <c:v>7</c:v>
                  </c:pt>
                  <c:pt idx="61">
                    <c:v>8</c:v>
                  </c:pt>
                  <c:pt idx="62">
                    <c:v>8</c:v>
                  </c:pt>
                  <c:pt idx="63">
                    <c:v>8</c:v>
                  </c:pt>
                  <c:pt idx="64">
                    <c:v>8</c:v>
                  </c:pt>
                  <c:pt idx="65">
                    <c:v>8</c:v>
                  </c:pt>
                  <c:pt idx="66">
                    <c:v>8</c:v>
                  </c:pt>
                  <c:pt idx="67">
                    <c:v>8</c:v>
                  </c:pt>
                  <c:pt idx="68">
                    <c:v>8</c:v>
                  </c:pt>
                  <c:pt idx="69">
                    <c:v>9</c:v>
                  </c:pt>
                  <c:pt idx="70">
                    <c:v>9</c:v>
                  </c:pt>
                  <c:pt idx="71">
                    <c:v>9</c:v>
                  </c:pt>
                  <c:pt idx="72">
                    <c:v>9</c:v>
                  </c:pt>
                  <c:pt idx="73">
                    <c:v>9</c:v>
                  </c:pt>
                  <c:pt idx="74">
                    <c:v>9</c:v>
                  </c:pt>
                  <c:pt idx="75">
                    <c:v>9</c:v>
                  </c:pt>
                  <c:pt idx="76">
                    <c:v>9</c:v>
                  </c:pt>
                  <c:pt idx="77">
                    <c:v>9</c:v>
                  </c:pt>
                  <c:pt idx="78">
                    <c:v>9</c:v>
                  </c:pt>
                </c:lvl>
              </c:multiLvlStrCache>
            </c:multiLvlStrRef>
          </c:cat>
          <c:val>
            <c:numRef>
              <c:f>'Paradas Ilpea'!$W$5:$W$83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3</c:v>
                </c:pt>
                <c:pt idx="12">
                  <c:v>0</c:v>
                </c:pt>
                <c:pt idx="13">
                  <c:v>9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5</c:v>
                </c:pt>
                <c:pt idx="21">
                  <c:v>0</c:v>
                </c:pt>
                <c:pt idx="22">
                  <c:v>2</c:v>
                </c:pt>
                <c:pt idx="23">
                  <c:v>2</c:v>
                </c:pt>
                <c:pt idx="24">
                  <c:v>6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0</c:v>
                </c:pt>
                <c:pt idx="29">
                  <c:v>2</c:v>
                </c:pt>
                <c:pt idx="30">
                  <c:v>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2</c:v>
                </c:pt>
                <c:pt idx="63">
                  <c:v>2</c:v>
                </c:pt>
                <c:pt idx="64">
                  <c:v>0</c:v>
                </c:pt>
                <c:pt idx="65">
                  <c:v>5</c:v>
                </c:pt>
                <c:pt idx="66">
                  <c:v>7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7</c:v>
                </c:pt>
                <c:pt idx="7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1F8-4327-A382-1C6C1E13E0AB}"/>
            </c:ext>
          </c:extLst>
        </c:ser>
        <c:ser>
          <c:idx val="13"/>
          <c:order val="13"/>
          <c:tx>
            <c:strRef>
              <c:f>'Paradas Ilpea'!$X$1:$X$4</c:f>
              <c:strCache>
                <c:ptCount val="4"/>
                <c:pt idx="0">
                  <c:v>CONTROL DE OCUPACION DE USUARIOS POR RUTA</c:v>
                </c:pt>
                <c:pt idx="2">
                  <c:v>Sábado</c:v>
                </c:pt>
                <c:pt idx="3">
                  <c:v>14/03/2026</c:v>
                </c:pt>
              </c:strCache>
            </c:strRef>
          </c:tx>
          <c:invertIfNegative val="0"/>
          <c:cat>
            <c:multiLvlStrRef>
              <c:f>'Paradas Ilpea'!$A$5:$J$83</c:f>
              <c:multiLvlStrCache>
                <c:ptCount val="79"/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1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2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2</c:v>
                  </c:pt>
                  <c:pt idx="64">
                    <c:v>1</c:v>
                  </c:pt>
                  <c:pt idx="65">
                    <c:v>0</c:v>
                  </c:pt>
                  <c:pt idx="66">
                    <c:v>4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3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3</c:v>
                  </c:pt>
                  <c:pt idx="23">
                    <c:v>3</c:v>
                  </c:pt>
                  <c:pt idx="24">
                    <c:v>12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0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1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6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2</c:v>
                  </c:pt>
                  <c:pt idx="20">
                    <c:v>4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6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1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2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10</c:v>
                  </c:pt>
                  <c:pt idx="78">
                    <c:v>7</c:v>
                  </c:pt>
                </c:lvl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2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2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3</c:v>
                  </c:pt>
                  <c:pt idx="64">
                    <c:v>1</c:v>
                  </c:pt>
                  <c:pt idx="65">
                    <c:v>0</c:v>
                  </c:pt>
                  <c:pt idx="66">
                    <c:v>2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4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8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1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2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7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1</c:v>
                  </c:pt>
                  <c:pt idx="20">
                    <c:v>3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7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2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1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9</c:v>
                  </c:pt>
                  <c:pt idx="78">
                    <c:v>7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0">
                    <c:v>7</c:v>
                  </c:pt>
                  <c:pt idx="21">
                    <c:v>8</c:v>
                  </c:pt>
                  <c:pt idx="22">
                    <c:v>9</c:v>
                  </c:pt>
                  <c:pt idx="23">
                    <c:v>10</c:v>
                  </c:pt>
                  <c:pt idx="24">
                    <c:v>11</c:v>
                  </c:pt>
                  <c:pt idx="25">
                    <c:v>12</c:v>
                  </c:pt>
                  <c:pt idx="26">
                    <c:v>13</c:v>
                  </c:pt>
                  <c:pt idx="27">
                    <c:v>14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5">
                    <c:v>1</c:v>
                  </c:pt>
                  <c:pt idx="36">
                    <c:v>2</c:v>
                  </c:pt>
                  <c:pt idx="37">
                    <c:v>3</c:v>
                  </c:pt>
                  <c:pt idx="38">
                    <c:v>4</c:v>
                  </c:pt>
                  <c:pt idx="39">
                    <c:v>5</c:v>
                  </c:pt>
                  <c:pt idx="40">
                    <c:v>6</c:v>
                  </c:pt>
                  <c:pt idx="41">
                    <c:v>7</c:v>
                  </c:pt>
                  <c:pt idx="42">
                    <c:v>8</c:v>
                  </c:pt>
                  <c:pt idx="43">
                    <c:v>9</c:v>
                  </c:pt>
                  <c:pt idx="44">
                    <c:v>10</c:v>
                  </c:pt>
                  <c:pt idx="45">
                    <c:v>11</c:v>
                  </c:pt>
                  <c:pt idx="46">
                    <c:v>12</c:v>
                  </c:pt>
                  <c:pt idx="47">
                    <c:v>1</c:v>
                  </c:pt>
                  <c:pt idx="48">
                    <c:v>2</c:v>
                  </c:pt>
                  <c:pt idx="49">
                    <c:v>3</c:v>
                  </c:pt>
                  <c:pt idx="50">
                    <c:v>1</c:v>
                  </c:pt>
                  <c:pt idx="51">
                    <c:v>2</c:v>
                  </c:pt>
                  <c:pt idx="52">
                    <c:v>3</c:v>
                  </c:pt>
                  <c:pt idx="53">
                    <c:v>4</c:v>
                  </c:pt>
                  <c:pt idx="54">
                    <c:v>5</c:v>
                  </c:pt>
                  <c:pt idx="55">
                    <c:v>6</c:v>
                  </c:pt>
                  <c:pt idx="56">
                    <c:v>7</c:v>
                  </c:pt>
                  <c:pt idx="57">
                    <c:v>8</c:v>
                  </c:pt>
                  <c:pt idx="58">
                    <c:v>9</c:v>
                  </c:pt>
                  <c:pt idx="59">
                    <c:v>10</c:v>
                  </c:pt>
                  <c:pt idx="60">
                    <c:v>11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5">
                    <c:v>5</c:v>
                  </c:pt>
                  <c:pt idx="66">
                    <c:v>6</c:v>
                  </c:pt>
                  <c:pt idx="67">
                    <c:v>7</c:v>
                  </c:pt>
                  <c:pt idx="68">
                    <c:v>8</c:v>
                  </c:pt>
                  <c:pt idx="69">
                    <c:v>1</c:v>
                  </c:pt>
                  <c:pt idx="70">
                    <c:v>2</c:v>
                  </c:pt>
                  <c:pt idx="71">
                    <c:v>3</c:v>
                  </c:pt>
                  <c:pt idx="72">
                    <c:v>4</c:v>
                  </c:pt>
                  <c:pt idx="73">
                    <c:v>5</c:v>
                  </c:pt>
                  <c:pt idx="74">
                    <c:v>6</c:v>
                  </c:pt>
                  <c:pt idx="75">
                    <c:v>7</c:v>
                  </c:pt>
                  <c:pt idx="76">
                    <c:v>8</c:v>
                  </c:pt>
                  <c:pt idx="77">
                    <c:v>9</c:v>
                  </c:pt>
                  <c:pt idx="78">
                    <c:v>10</c:v>
                  </c:pt>
                </c:lvl>
                <c:lvl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4</c:v>
                  </c:pt>
                  <c:pt idx="36">
                    <c:v>4</c:v>
                  </c:pt>
                  <c:pt idx="37">
                    <c:v>4</c:v>
                  </c:pt>
                  <c:pt idx="38">
                    <c:v>4</c:v>
                  </c:pt>
                  <c:pt idx="39">
                    <c:v>4</c:v>
                  </c:pt>
                  <c:pt idx="40">
                    <c:v>4</c:v>
                  </c:pt>
                  <c:pt idx="41">
                    <c:v>4</c:v>
                  </c:pt>
                  <c:pt idx="42">
                    <c:v>4</c:v>
                  </c:pt>
                  <c:pt idx="43">
                    <c:v>4</c:v>
                  </c:pt>
                  <c:pt idx="44">
                    <c:v>4</c:v>
                  </c:pt>
                  <c:pt idx="45">
                    <c:v>4</c:v>
                  </c:pt>
                  <c:pt idx="46">
                    <c:v>4</c:v>
                  </c:pt>
                  <c:pt idx="47">
                    <c:v>6</c:v>
                  </c:pt>
                  <c:pt idx="48">
                    <c:v>6</c:v>
                  </c:pt>
                  <c:pt idx="49">
                    <c:v>6</c:v>
                  </c:pt>
                  <c:pt idx="50">
                    <c:v>7</c:v>
                  </c:pt>
                  <c:pt idx="51">
                    <c:v>7</c:v>
                  </c:pt>
                  <c:pt idx="52">
                    <c:v>7</c:v>
                  </c:pt>
                  <c:pt idx="53">
                    <c:v>7</c:v>
                  </c:pt>
                  <c:pt idx="54">
                    <c:v>7</c:v>
                  </c:pt>
                  <c:pt idx="55">
                    <c:v>7</c:v>
                  </c:pt>
                  <c:pt idx="56">
                    <c:v>7</c:v>
                  </c:pt>
                  <c:pt idx="57">
                    <c:v>7</c:v>
                  </c:pt>
                  <c:pt idx="58">
                    <c:v>7</c:v>
                  </c:pt>
                  <c:pt idx="59">
                    <c:v>7</c:v>
                  </c:pt>
                  <c:pt idx="60">
                    <c:v>7</c:v>
                  </c:pt>
                  <c:pt idx="61">
                    <c:v>8</c:v>
                  </c:pt>
                  <c:pt idx="62">
                    <c:v>8</c:v>
                  </c:pt>
                  <c:pt idx="63">
                    <c:v>8</c:v>
                  </c:pt>
                  <c:pt idx="64">
                    <c:v>8</c:v>
                  </c:pt>
                  <c:pt idx="65">
                    <c:v>8</c:v>
                  </c:pt>
                  <c:pt idx="66">
                    <c:v>8</c:v>
                  </c:pt>
                  <c:pt idx="67">
                    <c:v>8</c:v>
                  </c:pt>
                  <c:pt idx="68">
                    <c:v>8</c:v>
                  </c:pt>
                  <c:pt idx="69">
                    <c:v>9</c:v>
                  </c:pt>
                  <c:pt idx="70">
                    <c:v>9</c:v>
                  </c:pt>
                  <c:pt idx="71">
                    <c:v>9</c:v>
                  </c:pt>
                  <c:pt idx="72">
                    <c:v>9</c:v>
                  </c:pt>
                  <c:pt idx="73">
                    <c:v>9</c:v>
                  </c:pt>
                  <c:pt idx="74">
                    <c:v>9</c:v>
                  </c:pt>
                  <c:pt idx="75">
                    <c:v>9</c:v>
                  </c:pt>
                  <c:pt idx="76">
                    <c:v>9</c:v>
                  </c:pt>
                  <c:pt idx="77">
                    <c:v>9</c:v>
                  </c:pt>
                  <c:pt idx="78">
                    <c:v>9</c:v>
                  </c:pt>
                </c:lvl>
              </c:multiLvlStrCache>
            </c:multiLvlStrRef>
          </c:cat>
          <c:val>
            <c:numRef>
              <c:f>'Paradas Ilpea'!$X$5:$X$83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7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  <c:pt idx="23">
                  <c:v>2</c:v>
                </c:pt>
                <c:pt idx="24">
                  <c:v>3</c:v>
                </c:pt>
                <c:pt idx="25">
                  <c:v>12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3</c:v>
                </c:pt>
                <c:pt idx="64">
                  <c:v>1</c:v>
                </c:pt>
                <c:pt idx="65">
                  <c:v>6</c:v>
                </c:pt>
                <c:pt idx="66">
                  <c:v>6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4</c:v>
                </c:pt>
                <c:pt idx="7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1F8-4327-A382-1C6C1E13E0AB}"/>
            </c:ext>
          </c:extLst>
        </c:ser>
        <c:ser>
          <c:idx val="14"/>
          <c:order val="14"/>
          <c:tx>
            <c:strRef>
              <c:f>'Paradas Ilpea'!$Y$1:$Y$4</c:f>
              <c:strCache>
                <c:ptCount val="4"/>
                <c:pt idx="0">
                  <c:v>CONTROL DE OCUPACION DE USUARIOS POR RUTA</c:v>
                </c:pt>
                <c:pt idx="2">
                  <c:v>Sábado</c:v>
                </c:pt>
                <c:pt idx="3">
                  <c:v>14/03/2026</c:v>
                </c:pt>
              </c:strCache>
            </c:strRef>
          </c:tx>
          <c:invertIfNegative val="0"/>
          <c:cat>
            <c:multiLvlStrRef>
              <c:f>'Paradas Ilpea'!$A$5:$J$83</c:f>
              <c:multiLvlStrCache>
                <c:ptCount val="79"/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1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2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2</c:v>
                  </c:pt>
                  <c:pt idx="64">
                    <c:v>1</c:v>
                  </c:pt>
                  <c:pt idx="65">
                    <c:v>0</c:v>
                  </c:pt>
                  <c:pt idx="66">
                    <c:v>4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3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3</c:v>
                  </c:pt>
                  <c:pt idx="23">
                    <c:v>3</c:v>
                  </c:pt>
                  <c:pt idx="24">
                    <c:v>12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0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1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6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2</c:v>
                  </c:pt>
                  <c:pt idx="20">
                    <c:v>4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6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1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2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10</c:v>
                  </c:pt>
                  <c:pt idx="78">
                    <c:v>7</c:v>
                  </c:pt>
                </c:lvl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2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2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3</c:v>
                  </c:pt>
                  <c:pt idx="64">
                    <c:v>1</c:v>
                  </c:pt>
                  <c:pt idx="65">
                    <c:v>0</c:v>
                  </c:pt>
                  <c:pt idx="66">
                    <c:v>2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4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8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1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2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7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1</c:v>
                  </c:pt>
                  <c:pt idx="20">
                    <c:v>3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7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2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1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9</c:v>
                  </c:pt>
                  <c:pt idx="78">
                    <c:v>7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0">
                    <c:v>7</c:v>
                  </c:pt>
                  <c:pt idx="21">
                    <c:v>8</c:v>
                  </c:pt>
                  <c:pt idx="22">
                    <c:v>9</c:v>
                  </c:pt>
                  <c:pt idx="23">
                    <c:v>10</c:v>
                  </c:pt>
                  <c:pt idx="24">
                    <c:v>11</c:v>
                  </c:pt>
                  <c:pt idx="25">
                    <c:v>12</c:v>
                  </c:pt>
                  <c:pt idx="26">
                    <c:v>13</c:v>
                  </c:pt>
                  <c:pt idx="27">
                    <c:v>14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5">
                    <c:v>1</c:v>
                  </c:pt>
                  <c:pt idx="36">
                    <c:v>2</c:v>
                  </c:pt>
                  <c:pt idx="37">
                    <c:v>3</c:v>
                  </c:pt>
                  <c:pt idx="38">
                    <c:v>4</c:v>
                  </c:pt>
                  <c:pt idx="39">
                    <c:v>5</c:v>
                  </c:pt>
                  <c:pt idx="40">
                    <c:v>6</c:v>
                  </c:pt>
                  <c:pt idx="41">
                    <c:v>7</c:v>
                  </c:pt>
                  <c:pt idx="42">
                    <c:v>8</c:v>
                  </c:pt>
                  <c:pt idx="43">
                    <c:v>9</c:v>
                  </c:pt>
                  <c:pt idx="44">
                    <c:v>10</c:v>
                  </c:pt>
                  <c:pt idx="45">
                    <c:v>11</c:v>
                  </c:pt>
                  <c:pt idx="46">
                    <c:v>12</c:v>
                  </c:pt>
                  <c:pt idx="47">
                    <c:v>1</c:v>
                  </c:pt>
                  <c:pt idx="48">
                    <c:v>2</c:v>
                  </c:pt>
                  <c:pt idx="49">
                    <c:v>3</c:v>
                  </c:pt>
                  <c:pt idx="50">
                    <c:v>1</c:v>
                  </c:pt>
                  <c:pt idx="51">
                    <c:v>2</c:v>
                  </c:pt>
                  <c:pt idx="52">
                    <c:v>3</c:v>
                  </c:pt>
                  <c:pt idx="53">
                    <c:v>4</c:v>
                  </c:pt>
                  <c:pt idx="54">
                    <c:v>5</c:v>
                  </c:pt>
                  <c:pt idx="55">
                    <c:v>6</c:v>
                  </c:pt>
                  <c:pt idx="56">
                    <c:v>7</c:v>
                  </c:pt>
                  <c:pt idx="57">
                    <c:v>8</c:v>
                  </c:pt>
                  <c:pt idx="58">
                    <c:v>9</c:v>
                  </c:pt>
                  <c:pt idx="59">
                    <c:v>10</c:v>
                  </c:pt>
                  <c:pt idx="60">
                    <c:v>11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5">
                    <c:v>5</c:v>
                  </c:pt>
                  <c:pt idx="66">
                    <c:v>6</c:v>
                  </c:pt>
                  <c:pt idx="67">
                    <c:v>7</c:v>
                  </c:pt>
                  <c:pt idx="68">
                    <c:v>8</c:v>
                  </c:pt>
                  <c:pt idx="69">
                    <c:v>1</c:v>
                  </c:pt>
                  <c:pt idx="70">
                    <c:v>2</c:v>
                  </c:pt>
                  <c:pt idx="71">
                    <c:v>3</c:v>
                  </c:pt>
                  <c:pt idx="72">
                    <c:v>4</c:v>
                  </c:pt>
                  <c:pt idx="73">
                    <c:v>5</c:v>
                  </c:pt>
                  <c:pt idx="74">
                    <c:v>6</c:v>
                  </c:pt>
                  <c:pt idx="75">
                    <c:v>7</c:v>
                  </c:pt>
                  <c:pt idx="76">
                    <c:v>8</c:v>
                  </c:pt>
                  <c:pt idx="77">
                    <c:v>9</c:v>
                  </c:pt>
                  <c:pt idx="78">
                    <c:v>10</c:v>
                  </c:pt>
                </c:lvl>
                <c:lvl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4</c:v>
                  </c:pt>
                  <c:pt idx="36">
                    <c:v>4</c:v>
                  </c:pt>
                  <c:pt idx="37">
                    <c:v>4</c:v>
                  </c:pt>
                  <c:pt idx="38">
                    <c:v>4</c:v>
                  </c:pt>
                  <c:pt idx="39">
                    <c:v>4</c:v>
                  </c:pt>
                  <c:pt idx="40">
                    <c:v>4</c:v>
                  </c:pt>
                  <c:pt idx="41">
                    <c:v>4</c:v>
                  </c:pt>
                  <c:pt idx="42">
                    <c:v>4</c:v>
                  </c:pt>
                  <c:pt idx="43">
                    <c:v>4</c:v>
                  </c:pt>
                  <c:pt idx="44">
                    <c:v>4</c:v>
                  </c:pt>
                  <c:pt idx="45">
                    <c:v>4</c:v>
                  </c:pt>
                  <c:pt idx="46">
                    <c:v>4</c:v>
                  </c:pt>
                  <c:pt idx="47">
                    <c:v>6</c:v>
                  </c:pt>
                  <c:pt idx="48">
                    <c:v>6</c:v>
                  </c:pt>
                  <c:pt idx="49">
                    <c:v>6</c:v>
                  </c:pt>
                  <c:pt idx="50">
                    <c:v>7</c:v>
                  </c:pt>
                  <c:pt idx="51">
                    <c:v>7</c:v>
                  </c:pt>
                  <c:pt idx="52">
                    <c:v>7</c:v>
                  </c:pt>
                  <c:pt idx="53">
                    <c:v>7</c:v>
                  </c:pt>
                  <c:pt idx="54">
                    <c:v>7</c:v>
                  </c:pt>
                  <c:pt idx="55">
                    <c:v>7</c:v>
                  </c:pt>
                  <c:pt idx="56">
                    <c:v>7</c:v>
                  </c:pt>
                  <c:pt idx="57">
                    <c:v>7</c:v>
                  </c:pt>
                  <c:pt idx="58">
                    <c:v>7</c:v>
                  </c:pt>
                  <c:pt idx="59">
                    <c:v>7</c:v>
                  </c:pt>
                  <c:pt idx="60">
                    <c:v>7</c:v>
                  </c:pt>
                  <c:pt idx="61">
                    <c:v>8</c:v>
                  </c:pt>
                  <c:pt idx="62">
                    <c:v>8</c:v>
                  </c:pt>
                  <c:pt idx="63">
                    <c:v>8</c:v>
                  </c:pt>
                  <c:pt idx="64">
                    <c:v>8</c:v>
                  </c:pt>
                  <c:pt idx="65">
                    <c:v>8</c:v>
                  </c:pt>
                  <c:pt idx="66">
                    <c:v>8</c:v>
                  </c:pt>
                  <c:pt idx="67">
                    <c:v>8</c:v>
                  </c:pt>
                  <c:pt idx="68">
                    <c:v>8</c:v>
                  </c:pt>
                  <c:pt idx="69">
                    <c:v>9</c:v>
                  </c:pt>
                  <c:pt idx="70">
                    <c:v>9</c:v>
                  </c:pt>
                  <c:pt idx="71">
                    <c:v>9</c:v>
                  </c:pt>
                  <c:pt idx="72">
                    <c:v>9</c:v>
                  </c:pt>
                  <c:pt idx="73">
                    <c:v>9</c:v>
                  </c:pt>
                  <c:pt idx="74">
                    <c:v>9</c:v>
                  </c:pt>
                  <c:pt idx="75">
                    <c:v>9</c:v>
                  </c:pt>
                  <c:pt idx="76">
                    <c:v>9</c:v>
                  </c:pt>
                  <c:pt idx="77">
                    <c:v>9</c:v>
                  </c:pt>
                  <c:pt idx="78">
                    <c:v>9</c:v>
                  </c:pt>
                </c:lvl>
              </c:multiLvlStrCache>
            </c:multiLvlStrRef>
          </c:cat>
          <c:val>
            <c:numRef>
              <c:f>'Paradas Ilpea'!$Y$5:$Y$83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1F8-4327-A382-1C6C1E13E0AB}"/>
            </c:ext>
          </c:extLst>
        </c:ser>
        <c:ser>
          <c:idx val="15"/>
          <c:order val="15"/>
          <c:tx>
            <c:strRef>
              <c:f>'Paradas Ilpea'!$Z$1:$Z$4</c:f>
              <c:strCache>
                <c:ptCount val="4"/>
                <c:pt idx="0">
                  <c:v>CONTROL DE OCUPACION DE USUARIOS POR RUTA</c:v>
                </c:pt>
                <c:pt idx="2">
                  <c:v>Domingo</c:v>
                </c:pt>
                <c:pt idx="3">
                  <c:v>15/03/2026</c:v>
                </c:pt>
              </c:strCache>
            </c:strRef>
          </c:tx>
          <c:invertIfNegative val="0"/>
          <c:cat>
            <c:multiLvlStrRef>
              <c:f>'Paradas Ilpea'!$A$5:$J$83</c:f>
              <c:multiLvlStrCache>
                <c:ptCount val="79"/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1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2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2</c:v>
                  </c:pt>
                  <c:pt idx="64">
                    <c:v>1</c:v>
                  </c:pt>
                  <c:pt idx="65">
                    <c:v>0</c:v>
                  </c:pt>
                  <c:pt idx="66">
                    <c:v>4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3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3</c:v>
                  </c:pt>
                  <c:pt idx="23">
                    <c:v>3</c:v>
                  </c:pt>
                  <c:pt idx="24">
                    <c:v>12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0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1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6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2</c:v>
                  </c:pt>
                  <c:pt idx="20">
                    <c:v>4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6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1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2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10</c:v>
                  </c:pt>
                  <c:pt idx="78">
                    <c:v>7</c:v>
                  </c:pt>
                </c:lvl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2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2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3</c:v>
                  </c:pt>
                  <c:pt idx="64">
                    <c:v>1</c:v>
                  </c:pt>
                  <c:pt idx="65">
                    <c:v>0</c:v>
                  </c:pt>
                  <c:pt idx="66">
                    <c:v>2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4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8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1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2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7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1</c:v>
                  </c:pt>
                  <c:pt idx="20">
                    <c:v>3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7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2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1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9</c:v>
                  </c:pt>
                  <c:pt idx="78">
                    <c:v>7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0">
                    <c:v>7</c:v>
                  </c:pt>
                  <c:pt idx="21">
                    <c:v>8</c:v>
                  </c:pt>
                  <c:pt idx="22">
                    <c:v>9</c:v>
                  </c:pt>
                  <c:pt idx="23">
                    <c:v>10</c:v>
                  </c:pt>
                  <c:pt idx="24">
                    <c:v>11</c:v>
                  </c:pt>
                  <c:pt idx="25">
                    <c:v>12</c:v>
                  </c:pt>
                  <c:pt idx="26">
                    <c:v>13</c:v>
                  </c:pt>
                  <c:pt idx="27">
                    <c:v>14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5">
                    <c:v>1</c:v>
                  </c:pt>
                  <c:pt idx="36">
                    <c:v>2</c:v>
                  </c:pt>
                  <c:pt idx="37">
                    <c:v>3</c:v>
                  </c:pt>
                  <c:pt idx="38">
                    <c:v>4</c:v>
                  </c:pt>
                  <c:pt idx="39">
                    <c:v>5</c:v>
                  </c:pt>
                  <c:pt idx="40">
                    <c:v>6</c:v>
                  </c:pt>
                  <c:pt idx="41">
                    <c:v>7</c:v>
                  </c:pt>
                  <c:pt idx="42">
                    <c:v>8</c:v>
                  </c:pt>
                  <c:pt idx="43">
                    <c:v>9</c:v>
                  </c:pt>
                  <c:pt idx="44">
                    <c:v>10</c:v>
                  </c:pt>
                  <c:pt idx="45">
                    <c:v>11</c:v>
                  </c:pt>
                  <c:pt idx="46">
                    <c:v>12</c:v>
                  </c:pt>
                  <c:pt idx="47">
                    <c:v>1</c:v>
                  </c:pt>
                  <c:pt idx="48">
                    <c:v>2</c:v>
                  </c:pt>
                  <c:pt idx="49">
                    <c:v>3</c:v>
                  </c:pt>
                  <c:pt idx="50">
                    <c:v>1</c:v>
                  </c:pt>
                  <c:pt idx="51">
                    <c:v>2</c:v>
                  </c:pt>
                  <c:pt idx="52">
                    <c:v>3</c:v>
                  </c:pt>
                  <c:pt idx="53">
                    <c:v>4</c:v>
                  </c:pt>
                  <c:pt idx="54">
                    <c:v>5</c:v>
                  </c:pt>
                  <c:pt idx="55">
                    <c:v>6</c:v>
                  </c:pt>
                  <c:pt idx="56">
                    <c:v>7</c:v>
                  </c:pt>
                  <c:pt idx="57">
                    <c:v>8</c:v>
                  </c:pt>
                  <c:pt idx="58">
                    <c:v>9</c:v>
                  </c:pt>
                  <c:pt idx="59">
                    <c:v>10</c:v>
                  </c:pt>
                  <c:pt idx="60">
                    <c:v>11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5">
                    <c:v>5</c:v>
                  </c:pt>
                  <c:pt idx="66">
                    <c:v>6</c:v>
                  </c:pt>
                  <c:pt idx="67">
                    <c:v>7</c:v>
                  </c:pt>
                  <c:pt idx="68">
                    <c:v>8</c:v>
                  </c:pt>
                  <c:pt idx="69">
                    <c:v>1</c:v>
                  </c:pt>
                  <c:pt idx="70">
                    <c:v>2</c:v>
                  </c:pt>
                  <c:pt idx="71">
                    <c:v>3</c:v>
                  </c:pt>
                  <c:pt idx="72">
                    <c:v>4</c:v>
                  </c:pt>
                  <c:pt idx="73">
                    <c:v>5</c:v>
                  </c:pt>
                  <c:pt idx="74">
                    <c:v>6</c:v>
                  </c:pt>
                  <c:pt idx="75">
                    <c:v>7</c:v>
                  </c:pt>
                  <c:pt idx="76">
                    <c:v>8</c:v>
                  </c:pt>
                  <c:pt idx="77">
                    <c:v>9</c:v>
                  </c:pt>
                  <c:pt idx="78">
                    <c:v>10</c:v>
                  </c:pt>
                </c:lvl>
                <c:lvl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4</c:v>
                  </c:pt>
                  <c:pt idx="36">
                    <c:v>4</c:v>
                  </c:pt>
                  <c:pt idx="37">
                    <c:v>4</c:v>
                  </c:pt>
                  <c:pt idx="38">
                    <c:v>4</c:v>
                  </c:pt>
                  <c:pt idx="39">
                    <c:v>4</c:v>
                  </c:pt>
                  <c:pt idx="40">
                    <c:v>4</c:v>
                  </c:pt>
                  <c:pt idx="41">
                    <c:v>4</c:v>
                  </c:pt>
                  <c:pt idx="42">
                    <c:v>4</c:v>
                  </c:pt>
                  <c:pt idx="43">
                    <c:v>4</c:v>
                  </c:pt>
                  <c:pt idx="44">
                    <c:v>4</c:v>
                  </c:pt>
                  <c:pt idx="45">
                    <c:v>4</c:v>
                  </c:pt>
                  <c:pt idx="46">
                    <c:v>4</c:v>
                  </c:pt>
                  <c:pt idx="47">
                    <c:v>6</c:v>
                  </c:pt>
                  <c:pt idx="48">
                    <c:v>6</c:v>
                  </c:pt>
                  <c:pt idx="49">
                    <c:v>6</c:v>
                  </c:pt>
                  <c:pt idx="50">
                    <c:v>7</c:v>
                  </c:pt>
                  <c:pt idx="51">
                    <c:v>7</c:v>
                  </c:pt>
                  <c:pt idx="52">
                    <c:v>7</c:v>
                  </c:pt>
                  <c:pt idx="53">
                    <c:v>7</c:v>
                  </c:pt>
                  <c:pt idx="54">
                    <c:v>7</c:v>
                  </c:pt>
                  <c:pt idx="55">
                    <c:v>7</c:v>
                  </c:pt>
                  <c:pt idx="56">
                    <c:v>7</c:v>
                  </c:pt>
                  <c:pt idx="57">
                    <c:v>7</c:v>
                  </c:pt>
                  <c:pt idx="58">
                    <c:v>7</c:v>
                  </c:pt>
                  <c:pt idx="59">
                    <c:v>7</c:v>
                  </c:pt>
                  <c:pt idx="60">
                    <c:v>7</c:v>
                  </c:pt>
                  <c:pt idx="61">
                    <c:v>8</c:v>
                  </c:pt>
                  <c:pt idx="62">
                    <c:v>8</c:v>
                  </c:pt>
                  <c:pt idx="63">
                    <c:v>8</c:v>
                  </c:pt>
                  <c:pt idx="64">
                    <c:v>8</c:v>
                  </c:pt>
                  <c:pt idx="65">
                    <c:v>8</c:v>
                  </c:pt>
                  <c:pt idx="66">
                    <c:v>8</c:v>
                  </c:pt>
                  <c:pt idx="67">
                    <c:v>8</c:v>
                  </c:pt>
                  <c:pt idx="68">
                    <c:v>8</c:v>
                  </c:pt>
                  <c:pt idx="69">
                    <c:v>9</c:v>
                  </c:pt>
                  <c:pt idx="70">
                    <c:v>9</c:v>
                  </c:pt>
                  <c:pt idx="71">
                    <c:v>9</c:v>
                  </c:pt>
                  <c:pt idx="72">
                    <c:v>9</c:v>
                  </c:pt>
                  <c:pt idx="73">
                    <c:v>9</c:v>
                  </c:pt>
                  <c:pt idx="74">
                    <c:v>9</c:v>
                  </c:pt>
                  <c:pt idx="75">
                    <c:v>9</c:v>
                  </c:pt>
                  <c:pt idx="76">
                    <c:v>9</c:v>
                  </c:pt>
                  <c:pt idx="77">
                    <c:v>9</c:v>
                  </c:pt>
                  <c:pt idx="78">
                    <c:v>9</c:v>
                  </c:pt>
                </c:lvl>
              </c:multiLvlStrCache>
            </c:multiLvlStrRef>
          </c:cat>
          <c:val>
            <c:numRef>
              <c:f>'Paradas Ilpea'!$Z$5:$Z$83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1F8-4327-A382-1C6C1E13E0AB}"/>
            </c:ext>
          </c:extLst>
        </c:ser>
        <c:ser>
          <c:idx val="16"/>
          <c:order val="16"/>
          <c:tx>
            <c:strRef>
              <c:f>'Paradas Ilpea'!$AA$1:$AA$4</c:f>
              <c:strCache>
                <c:ptCount val="4"/>
                <c:pt idx="0">
                  <c:v>CONTROL DE OCUPACION DE USUARIOS POR RUTA</c:v>
                </c:pt>
                <c:pt idx="2">
                  <c:v>Domingo</c:v>
                </c:pt>
                <c:pt idx="3">
                  <c:v>15/03/2026</c:v>
                </c:pt>
              </c:strCache>
            </c:strRef>
          </c:tx>
          <c:invertIfNegative val="0"/>
          <c:cat>
            <c:multiLvlStrRef>
              <c:f>'Paradas Ilpea'!$A$5:$J$83</c:f>
              <c:multiLvlStrCache>
                <c:ptCount val="79"/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1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2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2</c:v>
                  </c:pt>
                  <c:pt idx="64">
                    <c:v>1</c:v>
                  </c:pt>
                  <c:pt idx="65">
                    <c:v>0</c:v>
                  </c:pt>
                  <c:pt idx="66">
                    <c:v>4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3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3</c:v>
                  </c:pt>
                  <c:pt idx="23">
                    <c:v>3</c:v>
                  </c:pt>
                  <c:pt idx="24">
                    <c:v>12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0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1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6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2</c:v>
                  </c:pt>
                  <c:pt idx="20">
                    <c:v>4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6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1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2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10</c:v>
                  </c:pt>
                  <c:pt idx="78">
                    <c:v>7</c:v>
                  </c:pt>
                </c:lvl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2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2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3</c:v>
                  </c:pt>
                  <c:pt idx="64">
                    <c:v>1</c:v>
                  </c:pt>
                  <c:pt idx="65">
                    <c:v>0</c:v>
                  </c:pt>
                  <c:pt idx="66">
                    <c:v>2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4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8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1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2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7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1</c:v>
                  </c:pt>
                  <c:pt idx="20">
                    <c:v>3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7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2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1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9</c:v>
                  </c:pt>
                  <c:pt idx="78">
                    <c:v>7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0">
                    <c:v>7</c:v>
                  </c:pt>
                  <c:pt idx="21">
                    <c:v>8</c:v>
                  </c:pt>
                  <c:pt idx="22">
                    <c:v>9</c:v>
                  </c:pt>
                  <c:pt idx="23">
                    <c:v>10</c:v>
                  </c:pt>
                  <c:pt idx="24">
                    <c:v>11</c:v>
                  </c:pt>
                  <c:pt idx="25">
                    <c:v>12</c:v>
                  </c:pt>
                  <c:pt idx="26">
                    <c:v>13</c:v>
                  </c:pt>
                  <c:pt idx="27">
                    <c:v>14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5">
                    <c:v>1</c:v>
                  </c:pt>
                  <c:pt idx="36">
                    <c:v>2</c:v>
                  </c:pt>
                  <c:pt idx="37">
                    <c:v>3</c:v>
                  </c:pt>
                  <c:pt idx="38">
                    <c:v>4</c:v>
                  </c:pt>
                  <c:pt idx="39">
                    <c:v>5</c:v>
                  </c:pt>
                  <c:pt idx="40">
                    <c:v>6</c:v>
                  </c:pt>
                  <c:pt idx="41">
                    <c:v>7</c:v>
                  </c:pt>
                  <c:pt idx="42">
                    <c:v>8</c:v>
                  </c:pt>
                  <c:pt idx="43">
                    <c:v>9</c:v>
                  </c:pt>
                  <c:pt idx="44">
                    <c:v>10</c:v>
                  </c:pt>
                  <c:pt idx="45">
                    <c:v>11</c:v>
                  </c:pt>
                  <c:pt idx="46">
                    <c:v>12</c:v>
                  </c:pt>
                  <c:pt idx="47">
                    <c:v>1</c:v>
                  </c:pt>
                  <c:pt idx="48">
                    <c:v>2</c:v>
                  </c:pt>
                  <c:pt idx="49">
                    <c:v>3</c:v>
                  </c:pt>
                  <c:pt idx="50">
                    <c:v>1</c:v>
                  </c:pt>
                  <c:pt idx="51">
                    <c:v>2</c:v>
                  </c:pt>
                  <c:pt idx="52">
                    <c:v>3</c:v>
                  </c:pt>
                  <c:pt idx="53">
                    <c:v>4</c:v>
                  </c:pt>
                  <c:pt idx="54">
                    <c:v>5</c:v>
                  </c:pt>
                  <c:pt idx="55">
                    <c:v>6</c:v>
                  </c:pt>
                  <c:pt idx="56">
                    <c:v>7</c:v>
                  </c:pt>
                  <c:pt idx="57">
                    <c:v>8</c:v>
                  </c:pt>
                  <c:pt idx="58">
                    <c:v>9</c:v>
                  </c:pt>
                  <c:pt idx="59">
                    <c:v>10</c:v>
                  </c:pt>
                  <c:pt idx="60">
                    <c:v>11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5">
                    <c:v>5</c:v>
                  </c:pt>
                  <c:pt idx="66">
                    <c:v>6</c:v>
                  </c:pt>
                  <c:pt idx="67">
                    <c:v>7</c:v>
                  </c:pt>
                  <c:pt idx="68">
                    <c:v>8</c:v>
                  </c:pt>
                  <c:pt idx="69">
                    <c:v>1</c:v>
                  </c:pt>
                  <c:pt idx="70">
                    <c:v>2</c:v>
                  </c:pt>
                  <c:pt idx="71">
                    <c:v>3</c:v>
                  </c:pt>
                  <c:pt idx="72">
                    <c:v>4</c:v>
                  </c:pt>
                  <c:pt idx="73">
                    <c:v>5</c:v>
                  </c:pt>
                  <c:pt idx="74">
                    <c:v>6</c:v>
                  </c:pt>
                  <c:pt idx="75">
                    <c:v>7</c:v>
                  </c:pt>
                  <c:pt idx="76">
                    <c:v>8</c:v>
                  </c:pt>
                  <c:pt idx="77">
                    <c:v>9</c:v>
                  </c:pt>
                  <c:pt idx="78">
                    <c:v>10</c:v>
                  </c:pt>
                </c:lvl>
                <c:lvl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4</c:v>
                  </c:pt>
                  <c:pt idx="36">
                    <c:v>4</c:v>
                  </c:pt>
                  <c:pt idx="37">
                    <c:v>4</c:v>
                  </c:pt>
                  <c:pt idx="38">
                    <c:v>4</c:v>
                  </c:pt>
                  <c:pt idx="39">
                    <c:v>4</c:v>
                  </c:pt>
                  <c:pt idx="40">
                    <c:v>4</c:v>
                  </c:pt>
                  <c:pt idx="41">
                    <c:v>4</c:v>
                  </c:pt>
                  <c:pt idx="42">
                    <c:v>4</c:v>
                  </c:pt>
                  <c:pt idx="43">
                    <c:v>4</c:v>
                  </c:pt>
                  <c:pt idx="44">
                    <c:v>4</c:v>
                  </c:pt>
                  <c:pt idx="45">
                    <c:v>4</c:v>
                  </c:pt>
                  <c:pt idx="46">
                    <c:v>4</c:v>
                  </c:pt>
                  <c:pt idx="47">
                    <c:v>6</c:v>
                  </c:pt>
                  <c:pt idx="48">
                    <c:v>6</c:v>
                  </c:pt>
                  <c:pt idx="49">
                    <c:v>6</c:v>
                  </c:pt>
                  <c:pt idx="50">
                    <c:v>7</c:v>
                  </c:pt>
                  <c:pt idx="51">
                    <c:v>7</c:v>
                  </c:pt>
                  <c:pt idx="52">
                    <c:v>7</c:v>
                  </c:pt>
                  <c:pt idx="53">
                    <c:v>7</c:v>
                  </c:pt>
                  <c:pt idx="54">
                    <c:v>7</c:v>
                  </c:pt>
                  <c:pt idx="55">
                    <c:v>7</c:v>
                  </c:pt>
                  <c:pt idx="56">
                    <c:v>7</c:v>
                  </c:pt>
                  <c:pt idx="57">
                    <c:v>7</c:v>
                  </c:pt>
                  <c:pt idx="58">
                    <c:v>7</c:v>
                  </c:pt>
                  <c:pt idx="59">
                    <c:v>7</c:v>
                  </c:pt>
                  <c:pt idx="60">
                    <c:v>7</c:v>
                  </c:pt>
                  <c:pt idx="61">
                    <c:v>8</c:v>
                  </c:pt>
                  <c:pt idx="62">
                    <c:v>8</c:v>
                  </c:pt>
                  <c:pt idx="63">
                    <c:v>8</c:v>
                  </c:pt>
                  <c:pt idx="64">
                    <c:v>8</c:v>
                  </c:pt>
                  <c:pt idx="65">
                    <c:v>8</c:v>
                  </c:pt>
                  <c:pt idx="66">
                    <c:v>8</c:v>
                  </c:pt>
                  <c:pt idx="67">
                    <c:v>8</c:v>
                  </c:pt>
                  <c:pt idx="68">
                    <c:v>8</c:v>
                  </c:pt>
                  <c:pt idx="69">
                    <c:v>9</c:v>
                  </c:pt>
                  <c:pt idx="70">
                    <c:v>9</c:v>
                  </c:pt>
                  <c:pt idx="71">
                    <c:v>9</c:v>
                  </c:pt>
                  <c:pt idx="72">
                    <c:v>9</c:v>
                  </c:pt>
                  <c:pt idx="73">
                    <c:v>9</c:v>
                  </c:pt>
                  <c:pt idx="74">
                    <c:v>9</c:v>
                  </c:pt>
                  <c:pt idx="75">
                    <c:v>9</c:v>
                  </c:pt>
                  <c:pt idx="76">
                    <c:v>9</c:v>
                  </c:pt>
                  <c:pt idx="77">
                    <c:v>9</c:v>
                  </c:pt>
                  <c:pt idx="78">
                    <c:v>9</c:v>
                  </c:pt>
                </c:lvl>
              </c:multiLvlStrCache>
            </c:multiLvlStrRef>
          </c:cat>
          <c:val>
            <c:numRef>
              <c:f>'Paradas Ilpea'!$AA$5:$AA$83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1F8-4327-A382-1C6C1E13E0AB}"/>
            </c:ext>
          </c:extLst>
        </c:ser>
        <c:ser>
          <c:idx val="17"/>
          <c:order val="17"/>
          <c:tx>
            <c:strRef>
              <c:f>'Paradas Ilpea'!$AB$1:$AB$4</c:f>
              <c:strCache>
                <c:ptCount val="4"/>
                <c:pt idx="0">
                  <c:v>CONTROL DE OCUPACION DE USUARIOS POR RUTA</c:v>
                </c:pt>
                <c:pt idx="2">
                  <c:v>Domingo</c:v>
                </c:pt>
                <c:pt idx="3">
                  <c:v>15/03/2026</c:v>
                </c:pt>
              </c:strCache>
            </c:strRef>
          </c:tx>
          <c:invertIfNegative val="0"/>
          <c:cat>
            <c:multiLvlStrRef>
              <c:f>'Paradas Ilpea'!$A$5:$J$83</c:f>
              <c:multiLvlStrCache>
                <c:ptCount val="79"/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1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2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2</c:v>
                  </c:pt>
                  <c:pt idx="64">
                    <c:v>1</c:v>
                  </c:pt>
                  <c:pt idx="65">
                    <c:v>0</c:v>
                  </c:pt>
                  <c:pt idx="66">
                    <c:v>4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3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3</c:v>
                  </c:pt>
                  <c:pt idx="23">
                    <c:v>3</c:v>
                  </c:pt>
                  <c:pt idx="24">
                    <c:v>12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0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1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6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2</c:v>
                  </c:pt>
                  <c:pt idx="20">
                    <c:v>4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6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1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2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10</c:v>
                  </c:pt>
                  <c:pt idx="78">
                    <c:v>7</c:v>
                  </c:pt>
                </c:lvl>
                <c:lvl>
                  <c:pt idx="0">
                    <c:v>3er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2</c:v>
                  </c:pt>
                  <c:pt idx="7">
                    <c:v>0</c:v>
                  </c:pt>
                  <c:pt idx="8">
                    <c:v>0</c:v>
                  </c:pt>
                  <c:pt idx="9">
                    <c:v>3</c:v>
                  </c:pt>
                  <c:pt idx="10">
                    <c:v>2</c:v>
                  </c:pt>
                  <c:pt idx="11">
                    <c:v>1</c:v>
                  </c:pt>
                  <c:pt idx="12">
                    <c:v>0</c:v>
                  </c:pt>
                  <c:pt idx="13">
                    <c:v>3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0</c:v>
                  </c:pt>
                  <c:pt idx="24">
                    <c:v>2</c:v>
                  </c:pt>
                  <c:pt idx="25">
                    <c:v>0</c:v>
                  </c:pt>
                  <c:pt idx="26">
                    <c:v>2</c:v>
                  </c:pt>
                  <c:pt idx="27">
                    <c:v>2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1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</c:v>
                  </c:pt>
                  <c:pt idx="47">
                    <c:v>0</c:v>
                  </c:pt>
                  <c:pt idx="48">
                    <c:v>0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2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3</c:v>
                  </c:pt>
                  <c:pt idx="63">
                    <c:v>3</c:v>
                  </c:pt>
                  <c:pt idx="64">
                    <c:v>1</c:v>
                  </c:pt>
                  <c:pt idx="65">
                    <c:v>0</c:v>
                  </c:pt>
                  <c:pt idx="66">
                    <c:v>2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</c:v>
                  </c:pt>
                  <c:pt idx="74">
                    <c:v>0</c:v>
                  </c:pt>
                  <c:pt idx="75">
                    <c:v>2</c:v>
                  </c:pt>
                  <c:pt idx="76">
                    <c:v>2</c:v>
                  </c:pt>
                  <c:pt idx="77">
                    <c:v>1</c:v>
                  </c:pt>
                  <c:pt idx="78">
                    <c:v>3</c:v>
                  </c:pt>
                </c:lvl>
                <c:lvl>
                  <c:pt idx="0">
                    <c:v>Mixto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1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1</c:v>
                  </c:pt>
                  <c:pt idx="66">
                    <c:v>0</c:v>
                  </c:pt>
                  <c:pt idx="67">
                    <c:v>0</c:v>
                  </c:pt>
                  <c:pt idx="68">
                    <c:v>1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</c:lvl>
                <c:lvl>
                  <c:pt idx="0">
                    <c:v>2do Turno</c:v>
                  </c:pt>
                  <c:pt idx="1">
                    <c:v># Personal</c:v>
                  </c:pt>
                  <c:pt idx="2">
                    <c:v>4</c:v>
                  </c:pt>
                  <c:pt idx="3">
                    <c:v>1</c:v>
                  </c:pt>
                  <c:pt idx="4">
                    <c:v>2</c:v>
                  </c:pt>
                  <c:pt idx="5">
                    <c:v>0</c:v>
                  </c:pt>
                  <c:pt idx="6">
                    <c:v>7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2</c:v>
                  </c:pt>
                  <c:pt idx="15">
                    <c:v>0</c:v>
                  </c:pt>
                  <c:pt idx="16">
                    <c:v>0</c:v>
                  </c:pt>
                  <c:pt idx="17">
                    <c:v>3</c:v>
                  </c:pt>
                  <c:pt idx="18">
                    <c:v>2</c:v>
                  </c:pt>
                  <c:pt idx="19">
                    <c:v>0</c:v>
                  </c:pt>
                  <c:pt idx="20">
                    <c:v>1</c:v>
                  </c:pt>
                  <c:pt idx="21">
                    <c:v>1</c:v>
                  </c:pt>
                  <c:pt idx="22">
                    <c:v>2</c:v>
                  </c:pt>
                  <c:pt idx="23">
                    <c:v>3</c:v>
                  </c:pt>
                  <c:pt idx="24">
                    <c:v>8</c:v>
                  </c:pt>
                  <c:pt idx="25">
                    <c:v>0</c:v>
                  </c:pt>
                  <c:pt idx="26">
                    <c:v>1</c:v>
                  </c:pt>
                  <c:pt idx="27">
                    <c:v>1</c:v>
                  </c:pt>
                  <c:pt idx="28">
                    <c:v>1</c:v>
                  </c:pt>
                  <c:pt idx="29">
                    <c:v>1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2</c:v>
                  </c:pt>
                  <c:pt idx="37">
                    <c:v>0</c:v>
                  </c:pt>
                  <c:pt idx="38">
                    <c:v>1</c:v>
                  </c:pt>
                  <c:pt idx="39">
                    <c:v>1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2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2</c:v>
                  </c:pt>
                  <c:pt idx="60">
                    <c:v>0</c:v>
                  </c:pt>
                  <c:pt idx="61">
                    <c:v>1</c:v>
                  </c:pt>
                  <c:pt idx="62">
                    <c:v>1</c:v>
                  </c:pt>
                  <c:pt idx="63">
                    <c:v>4</c:v>
                  </c:pt>
                  <c:pt idx="64">
                    <c:v>1</c:v>
                  </c:pt>
                  <c:pt idx="65">
                    <c:v>7</c:v>
                  </c:pt>
                  <c:pt idx="66">
                    <c:v>6</c:v>
                  </c:pt>
                  <c:pt idx="67">
                    <c:v>1</c:v>
                  </c:pt>
                  <c:pt idx="68">
                    <c:v>1</c:v>
                  </c:pt>
                  <c:pt idx="69">
                    <c:v>1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2</c:v>
                  </c:pt>
                  <c:pt idx="76">
                    <c:v>0</c:v>
                  </c:pt>
                  <c:pt idx="77">
                    <c:v>5</c:v>
                  </c:pt>
                  <c:pt idx="78">
                    <c:v>1</c:v>
                  </c:pt>
                </c:lvl>
                <c:lvl>
                  <c:pt idx="0">
                    <c:v>1er Turno</c:v>
                  </c:pt>
                  <c:pt idx="1">
                    <c:v># Personal</c:v>
                  </c:pt>
                  <c:pt idx="2">
                    <c:v>0</c:v>
                  </c:pt>
                  <c:pt idx="3">
                    <c:v>1</c:v>
                  </c:pt>
                  <c:pt idx="4">
                    <c:v>2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3</c:v>
                  </c:pt>
                  <c:pt idx="11">
                    <c:v>5</c:v>
                  </c:pt>
                  <c:pt idx="12">
                    <c:v>3</c:v>
                  </c:pt>
                  <c:pt idx="13">
                    <c:v>9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1</c:v>
                  </c:pt>
                  <c:pt idx="19">
                    <c:v>1</c:v>
                  </c:pt>
                  <c:pt idx="20">
                    <c:v>3</c:v>
                  </c:pt>
                  <c:pt idx="21">
                    <c:v>0</c:v>
                  </c:pt>
                  <c:pt idx="22">
                    <c:v>3</c:v>
                  </c:pt>
                  <c:pt idx="23">
                    <c:v>4</c:v>
                  </c:pt>
                  <c:pt idx="24">
                    <c:v>7</c:v>
                  </c:pt>
                  <c:pt idx="25">
                    <c:v>0</c:v>
                  </c:pt>
                  <c:pt idx="26">
                    <c:v>1</c:v>
                  </c:pt>
                  <c:pt idx="27">
                    <c:v>2</c:v>
                  </c:pt>
                  <c:pt idx="28">
                    <c:v>0</c:v>
                  </c:pt>
                  <c:pt idx="29">
                    <c:v>2</c:v>
                  </c:pt>
                  <c:pt idx="30">
                    <c:v>2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1</c:v>
                  </c:pt>
                  <c:pt idx="35">
                    <c:v>0</c:v>
                  </c:pt>
                  <c:pt idx="36">
                    <c:v>0</c:v>
                  </c:pt>
                  <c:pt idx="37">
                    <c:v>1</c:v>
                  </c:pt>
                  <c:pt idx="38">
                    <c:v>1</c:v>
                  </c:pt>
                  <c:pt idx="39">
                    <c:v>0</c:v>
                  </c:pt>
                  <c:pt idx="40">
                    <c:v>1</c:v>
                  </c:pt>
                  <c:pt idx="41">
                    <c:v>1</c:v>
                  </c:pt>
                  <c:pt idx="42">
                    <c:v>1</c:v>
                  </c:pt>
                  <c:pt idx="43">
                    <c:v>1</c:v>
                  </c:pt>
                  <c:pt idx="44">
                    <c:v>1</c:v>
                  </c:pt>
                  <c:pt idx="45">
                    <c:v>0</c:v>
                  </c:pt>
                  <c:pt idx="46">
                    <c:v>1</c:v>
                  </c:pt>
                  <c:pt idx="47">
                    <c:v>1</c:v>
                  </c:pt>
                  <c:pt idx="48">
                    <c:v>1</c:v>
                  </c:pt>
                  <c:pt idx="49">
                    <c:v>1</c:v>
                  </c:pt>
                  <c:pt idx="50">
                    <c:v>1</c:v>
                  </c:pt>
                  <c:pt idx="51">
                    <c:v>1</c:v>
                  </c:pt>
                  <c:pt idx="52">
                    <c:v>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1</c:v>
                  </c:pt>
                  <c:pt idx="57">
                    <c:v>1</c:v>
                  </c:pt>
                  <c:pt idx="58">
                    <c:v>1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2</c:v>
                  </c:pt>
                  <c:pt idx="63">
                    <c:v>2</c:v>
                  </c:pt>
                  <c:pt idx="64">
                    <c:v>0</c:v>
                  </c:pt>
                  <c:pt idx="65">
                    <c:v>5</c:v>
                  </c:pt>
                  <c:pt idx="66">
                    <c:v>7</c:v>
                  </c:pt>
                  <c:pt idx="67">
                    <c:v>3</c:v>
                  </c:pt>
                  <c:pt idx="68">
                    <c:v>0</c:v>
                  </c:pt>
                  <c:pt idx="69">
                    <c:v>1</c:v>
                  </c:pt>
                  <c:pt idx="70">
                    <c:v>0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0</c:v>
                  </c:pt>
                  <c:pt idx="75">
                    <c:v>1</c:v>
                  </c:pt>
                  <c:pt idx="76">
                    <c:v>3</c:v>
                  </c:pt>
                  <c:pt idx="77">
                    <c:v>9</c:v>
                  </c:pt>
                  <c:pt idx="78">
                    <c:v>7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6</c:v>
                  </c:pt>
                  <c:pt idx="20">
                    <c:v>7</c:v>
                  </c:pt>
                  <c:pt idx="21">
                    <c:v>8</c:v>
                  </c:pt>
                  <c:pt idx="22">
                    <c:v>9</c:v>
                  </c:pt>
                  <c:pt idx="23">
                    <c:v>10</c:v>
                  </c:pt>
                  <c:pt idx="24">
                    <c:v>11</c:v>
                  </c:pt>
                  <c:pt idx="25">
                    <c:v>12</c:v>
                  </c:pt>
                  <c:pt idx="26">
                    <c:v>13</c:v>
                  </c:pt>
                  <c:pt idx="27">
                    <c:v>14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5</c:v>
                  </c:pt>
                  <c:pt idx="33">
                    <c:v>6</c:v>
                  </c:pt>
                  <c:pt idx="34">
                    <c:v>7</c:v>
                  </c:pt>
                  <c:pt idx="35">
                    <c:v>1</c:v>
                  </c:pt>
                  <c:pt idx="36">
                    <c:v>2</c:v>
                  </c:pt>
                  <c:pt idx="37">
                    <c:v>3</c:v>
                  </c:pt>
                  <c:pt idx="38">
                    <c:v>4</c:v>
                  </c:pt>
                  <c:pt idx="39">
                    <c:v>5</c:v>
                  </c:pt>
                  <c:pt idx="40">
                    <c:v>6</c:v>
                  </c:pt>
                  <c:pt idx="41">
                    <c:v>7</c:v>
                  </c:pt>
                  <c:pt idx="42">
                    <c:v>8</c:v>
                  </c:pt>
                  <c:pt idx="43">
                    <c:v>9</c:v>
                  </c:pt>
                  <c:pt idx="44">
                    <c:v>10</c:v>
                  </c:pt>
                  <c:pt idx="45">
                    <c:v>11</c:v>
                  </c:pt>
                  <c:pt idx="46">
                    <c:v>12</c:v>
                  </c:pt>
                  <c:pt idx="47">
                    <c:v>1</c:v>
                  </c:pt>
                  <c:pt idx="48">
                    <c:v>2</c:v>
                  </c:pt>
                  <c:pt idx="49">
                    <c:v>3</c:v>
                  </c:pt>
                  <c:pt idx="50">
                    <c:v>1</c:v>
                  </c:pt>
                  <c:pt idx="51">
                    <c:v>2</c:v>
                  </c:pt>
                  <c:pt idx="52">
                    <c:v>3</c:v>
                  </c:pt>
                  <c:pt idx="53">
                    <c:v>4</c:v>
                  </c:pt>
                  <c:pt idx="54">
                    <c:v>5</c:v>
                  </c:pt>
                  <c:pt idx="55">
                    <c:v>6</c:v>
                  </c:pt>
                  <c:pt idx="56">
                    <c:v>7</c:v>
                  </c:pt>
                  <c:pt idx="57">
                    <c:v>8</c:v>
                  </c:pt>
                  <c:pt idx="58">
                    <c:v>9</c:v>
                  </c:pt>
                  <c:pt idx="59">
                    <c:v>10</c:v>
                  </c:pt>
                  <c:pt idx="60">
                    <c:v>11</c:v>
                  </c:pt>
                  <c:pt idx="61">
                    <c:v>1</c:v>
                  </c:pt>
                  <c:pt idx="62">
                    <c:v>2</c:v>
                  </c:pt>
                  <c:pt idx="63">
                    <c:v>3</c:v>
                  </c:pt>
                  <c:pt idx="64">
                    <c:v>4</c:v>
                  </c:pt>
                  <c:pt idx="65">
                    <c:v>5</c:v>
                  </c:pt>
                  <c:pt idx="66">
                    <c:v>6</c:v>
                  </c:pt>
                  <c:pt idx="67">
                    <c:v>7</c:v>
                  </c:pt>
                  <c:pt idx="68">
                    <c:v>8</c:v>
                  </c:pt>
                  <c:pt idx="69">
                    <c:v>1</c:v>
                  </c:pt>
                  <c:pt idx="70">
                    <c:v>2</c:v>
                  </c:pt>
                  <c:pt idx="71">
                    <c:v>3</c:v>
                  </c:pt>
                  <c:pt idx="72">
                    <c:v>4</c:v>
                  </c:pt>
                  <c:pt idx="73">
                    <c:v>5</c:v>
                  </c:pt>
                  <c:pt idx="74">
                    <c:v>6</c:v>
                  </c:pt>
                  <c:pt idx="75">
                    <c:v>7</c:v>
                  </c:pt>
                  <c:pt idx="76">
                    <c:v>8</c:v>
                  </c:pt>
                  <c:pt idx="77">
                    <c:v>9</c:v>
                  </c:pt>
                  <c:pt idx="78">
                    <c:v>10</c:v>
                  </c:pt>
                </c:lvl>
                <c:lvl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4</c:v>
                  </c:pt>
                  <c:pt idx="36">
                    <c:v>4</c:v>
                  </c:pt>
                  <c:pt idx="37">
                    <c:v>4</c:v>
                  </c:pt>
                  <c:pt idx="38">
                    <c:v>4</c:v>
                  </c:pt>
                  <c:pt idx="39">
                    <c:v>4</c:v>
                  </c:pt>
                  <c:pt idx="40">
                    <c:v>4</c:v>
                  </c:pt>
                  <c:pt idx="41">
                    <c:v>4</c:v>
                  </c:pt>
                  <c:pt idx="42">
                    <c:v>4</c:v>
                  </c:pt>
                  <c:pt idx="43">
                    <c:v>4</c:v>
                  </c:pt>
                  <c:pt idx="44">
                    <c:v>4</c:v>
                  </c:pt>
                  <c:pt idx="45">
                    <c:v>4</c:v>
                  </c:pt>
                  <c:pt idx="46">
                    <c:v>4</c:v>
                  </c:pt>
                  <c:pt idx="47">
                    <c:v>6</c:v>
                  </c:pt>
                  <c:pt idx="48">
                    <c:v>6</c:v>
                  </c:pt>
                  <c:pt idx="49">
                    <c:v>6</c:v>
                  </c:pt>
                  <c:pt idx="50">
                    <c:v>7</c:v>
                  </c:pt>
                  <c:pt idx="51">
                    <c:v>7</c:v>
                  </c:pt>
                  <c:pt idx="52">
                    <c:v>7</c:v>
                  </c:pt>
                  <c:pt idx="53">
                    <c:v>7</c:v>
                  </c:pt>
                  <c:pt idx="54">
                    <c:v>7</c:v>
                  </c:pt>
                  <c:pt idx="55">
                    <c:v>7</c:v>
                  </c:pt>
                  <c:pt idx="56">
                    <c:v>7</c:v>
                  </c:pt>
                  <c:pt idx="57">
                    <c:v>7</c:v>
                  </c:pt>
                  <c:pt idx="58">
                    <c:v>7</c:v>
                  </c:pt>
                  <c:pt idx="59">
                    <c:v>7</c:v>
                  </c:pt>
                  <c:pt idx="60">
                    <c:v>7</c:v>
                  </c:pt>
                  <c:pt idx="61">
                    <c:v>8</c:v>
                  </c:pt>
                  <c:pt idx="62">
                    <c:v>8</c:v>
                  </c:pt>
                  <c:pt idx="63">
                    <c:v>8</c:v>
                  </c:pt>
                  <c:pt idx="64">
                    <c:v>8</c:v>
                  </c:pt>
                  <c:pt idx="65">
                    <c:v>8</c:v>
                  </c:pt>
                  <c:pt idx="66">
                    <c:v>8</c:v>
                  </c:pt>
                  <c:pt idx="67">
                    <c:v>8</c:v>
                  </c:pt>
                  <c:pt idx="68">
                    <c:v>8</c:v>
                  </c:pt>
                  <c:pt idx="69">
                    <c:v>9</c:v>
                  </c:pt>
                  <c:pt idx="70">
                    <c:v>9</c:v>
                  </c:pt>
                  <c:pt idx="71">
                    <c:v>9</c:v>
                  </c:pt>
                  <c:pt idx="72">
                    <c:v>9</c:v>
                  </c:pt>
                  <c:pt idx="73">
                    <c:v>9</c:v>
                  </c:pt>
                  <c:pt idx="74">
                    <c:v>9</c:v>
                  </c:pt>
                  <c:pt idx="75">
                    <c:v>9</c:v>
                  </c:pt>
                  <c:pt idx="76">
                    <c:v>9</c:v>
                  </c:pt>
                  <c:pt idx="77">
                    <c:v>9</c:v>
                  </c:pt>
                  <c:pt idx="78">
                    <c:v>9</c:v>
                  </c:pt>
                </c:lvl>
              </c:multiLvlStrCache>
            </c:multiLvlStrRef>
          </c:cat>
          <c:val>
            <c:numRef>
              <c:f>'Paradas Ilpea'!$AB$5:$AB$83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1F8-4327-A382-1C6C1E13E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310976"/>
        <c:axId val="88413696"/>
      </c:barChart>
      <c:catAx>
        <c:axId val="773109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8413696"/>
        <c:crosses val="autoZero"/>
        <c:auto val="1"/>
        <c:lblAlgn val="ctr"/>
        <c:lblOffset val="100"/>
        <c:noMultiLvlLbl val="0"/>
      </c:catAx>
      <c:valAx>
        <c:axId val="88413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7310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Gráfico1"/>
  <sheetViews>
    <sheetView zoomScale="8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4564" cy="6080494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238125</xdr:colOff>
      <xdr:row>0</xdr:row>
      <xdr:rowOff>80963</xdr:rowOff>
    </xdr:from>
    <xdr:to>
      <xdr:col>27</xdr:col>
      <xdr:colOff>701898</xdr:colOff>
      <xdr:row>1</xdr:row>
      <xdr:rowOff>202406</xdr:rowOff>
    </xdr:to>
    <xdr:pic>
      <xdr:nvPicPr>
        <xdr:cNvPr id="2" name="Imagen 30">
          <a:extLst>
            <a:ext uri="{FF2B5EF4-FFF2-40B4-BE49-F238E27FC236}">
              <a16:creationId xmlns:a16="http://schemas.microsoft.com/office/drawing/2014/main" id="{65D9AC3C-FD76-44A2-A70F-32F1DDC93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5188" y="80963"/>
          <a:ext cx="463773" cy="454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282576</xdr:colOff>
      <xdr:row>0</xdr:row>
      <xdr:rowOff>35719</xdr:rowOff>
    </xdr:from>
    <xdr:to>
      <xdr:col>58</xdr:col>
      <xdr:colOff>720835</xdr:colOff>
      <xdr:row>1</xdr:row>
      <xdr:rowOff>117158</xdr:rowOff>
    </xdr:to>
    <xdr:pic>
      <xdr:nvPicPr>
        <xdr:cNvPr id="2" name="Imagen 30">
          <a:extLst>
            <a:ext uri="{FF2B5EF4-FFF2-40B4-BE49-F238E27FC236}">
              <a16:creationId xmlns:a16="http://schemas.microsoft.com/office/drawing/2014/main" id="{B326B545-9498-4705-B88C-B26319DD2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33389" y="35719"/>
          <a:ext cx="424924" cy="416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138112</xdr:colOff>
      <xdr:row>0</xdr:row>
      <xdr:rowOff>9525</xdr:rowOff>
    </xdr:from>
    <xdr:to>
      <xdr:col>1</xdr:col>
      <xdr:colOff>118695</xdr:colOff>
      <xdr:row>1</xdr:row>
      <xdr:rowOff>110014</xdr:rowOff>
    </xdr:to>
    <xdr:pic>
      <xdr:nvPicPr>
        <xdr:cNvPr id="3" name="Imagen 30">
          <a:extLst>
            <a:ext uri="{FF2B5EF4-FFF2-40B4-BE49-F238E27FC236}">
              <a16:creationId xmlns:a16="http://schemas.microsoft.com/office/drawing/2014/main" id="{2F48200F-A6CC-4F7A-90FA-98CE543F2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" y="9525"/>
          <a:ext cx="418733" cy="4433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Mirador">
      <a:dk1>
        <a:sysClr val="windowText" lastClr="000000"/>
      </a:dk1>
      <a:lt1>
        <a:sysClr val="window" lastClr="FFFFFF"/>
      </a:lt1>
      <a:dk2>
        <a:srgbClr val="575F6D"/>
      </a:dk2>
      <a:lt2>
        <a:srgbClr val="FFF39D"/>
      </a:lt2>
      <a:accent1>
        <a:srgbClr val="FE8637"/>
      </a:accent1>
      <a:accent2>
        <a:srgbClr val="7598D9"/>
      </a:accent2>
      <a:accent3>
        <a:srgbClr val="B32C16"/>
      </a:accent3>
      <a:accent4>
        <a:srgbClr val="F5CD2D"/>
      </a:accent4>
      <a:accent5>
        <a:srgbClr val="AEBAD5"/>
      </a:accent5>
      <a:accent6>
        <a:srgbClr val="777C84"/>
      </a:accent6>
      <a:hlink>
        <a:srgbClr val="D2611C"/>
      </a:hlink>
      <a:folHlink>
        <a:srgbClr val="3B435B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73A4A-3D9B-49B1-B106-B5BB254823CF}">
  <sheetPr codeName="Hoja3"/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B101"/>
  <sheetViews>
    <sheetView showGridLines="0" zoomScale="80" zoomScaleNormal="80" workbookViewId="0">
      <pane ySplit="6" topLeftCell="A16" activePane="bottomLeft" state="frozen"/>
      <selection pane="bottomLeft" activeCell="Y74" sqref="Y74"/>
    </sheetView>
  </sheetViews>
  <sheetFormatPr baseColWidth="10" defaultRowHeight="18"/>
  <cols>
    <col min="1" max="1" width="6.5546875" style="18" customWidth="1"/>
    <col min="2" max="2" width="6.5546875" style="2" customWidth="1"/>
    <col min="3" max="3" width="11.44140625" style="12"/>
    <col min="4" max="5" width="11.5546875" style="12"/>
    <col min="6" max="7" width="11.44140625" style="12"/>
    <col min="8" max="9" width="11.5546875" style="12"/>
    <col min="10" max="11" width="11.44140625" style="12"/>
    <col min="12" max="13" width="11.5546875" style="12"/>
    <col min="14" max="15" width="11.44140625" style="12"/>
    <col min="16" max="17" width="11.5546875" style="12"/>
    <col min="18" max="19" width="11.44140625" style="12"/>
    <col min="20" max="21" width="11.5546875" style="12"/>
    <col min="22" max="23" width="11.44140625" style="12"/>
    <col min="24" max="24" width="11.5546875" style="12"/>
    <col min="25" max="26" width="11.44140625" style="12"/>
    <col min="27" max="27" width="11.5546875" style="12"/>
    <col min="28" max="28" width="11.44140625" style="12"/>
    <col min="29" max="29" width="4.21875" customWidth="1"/>
    <col min="30" max="30" width="5" customWidth="1"/>
  </cols>
  <sheetData>
    <row r="1" spans="1:28" ht="25.8">
      <c r="A1" s="19"/>
      <c r="B1" s="20"/>
      <c r="C1" s="21"/>
      <c r="D1" s="21"/>
      <c r="E1" s="21"/>
      <c r="F1" s="21"/>
      <c r="G1" s="21"/>
      <c r="H1" s="21"/>
      <c r="I1" s="21"/>
      <c r="J1" s="21"/>
      <c r="K1" s="30" t="s">
        <v>15</v>
      </c>
      <c r="L1" s="30"/>
      <c r="M1" s="30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28">
      <c r="A2" s="22" t="s">
        <v>34</v>
      </c>
      <c r="C2" s="44" t="s">
        <v>39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"/>
      <c r="Z2" s="1"/>
      <c r="AA2" s="1"/>
      <c r="AB2" s="1"/>
    </row>
    <row r="3" spans="1:28">
      <c r="A3" s="11"/>
      <c r="B3" s="9"/>
      <c r="C3" s="74" t="s">
        <v>1</v>
      </c>
      <c r="D3" s="74"/>
      <c r="E3" s="74"/>
      <c r="F3" s="74"/>
      <c r="G3" s="80" t="s">
        <v>2</v>
      </c>
      <c r="H3" s="80"/>
      <c r="I3" s="80"/>
      <c r="J3" s="80"/>
      <c r="K3" s="81" t="s">
        <v>10</v>
      </c>
      <c r="L3" s="82"/>
      <c r="M3" s="82"/>
      <c r="N3" s="82"/>
      <c r="O3" s="80" t="s">
        <v>11</v>
      </c>
      <c r="P3" s="80"/>
      <c r="Q3" s="80"/>
      <c r="R3" s="80"/>
      <c r="S3" s="74" t="s">
        <v>12</v>
      </c>
      <c r="T3" s="74"/>
      <c r="U3" s="74"/>
      <c r="V3" s="74"/>
      <c r="W3" s="80" t="s">
        <v>13</v>
      </c>
      <c r="X3" s="80"/>
      <c r="Y3" s="80"/>
      <c r="Z3" s="74" t="s">
        <v>0</v>
      </c>
      <c r="AA3" s="74"/>
      <c r="AB3" s="74"/>
    </row>
    <row r="4" spans="1:28" ht="30" customHeight="1">
      <c r="A4" s="75" t="s">
        <v>3</v>
      </c>
      <c r="B4" s="83" t="s">
        <v>20</v>
      </c>
      <c r="C4" s="78">
        <v>46090</v>
      </c>
      <c r="D4" s="79"/>
      <c r="E4" s="79"/>
      <c r="F4" s="79"/>
      <c r="G4" s="78">
        <f>C4+1</f>
        <v>46091</v>
      </c>
      <c r="H4" s="79"/>
      <c r="I4" s="79"/>
      <c r="J4" s="79"/>
      <c r="K4" s="78">
        <f>G4+1</f>
        <v>46092</v>
      </c>
      <c r="L4" s="79"/>
      <c r="M4" s="79"/>
      <c r="N4" s="79"/>
      <c r="O4" s="78">
        <f>K4+1</f>
        <v>46093</v>
      </c>
      <c r="P4" s="79"/>
      <c r="Q4" s="79"/>
      <c r="R4" s="79"/>
      <c r="S4" s="78">
        <f>O4+1</f>
        <v>46094</v>
      </c>
      <c r="T4" s="79"/>
      <c r="U4" s="79"/>
      <c r="V4" s="79"/>
      <c r="W4" s="78">
        <f t="shared" ref="W4" si="0">S4+1</f>
        <v>46095</v>
      </c>
      <c r="X4" s="79"/>
      <c r="Y4" s="79"/>
      <c r="Z4" s="78">
        <f>W4+1</f>
        <v>46096</v>
      </c>
      <c r="AA4" s="79"/>
      <c r="AB4" s="79"/>
    </row>
    <row r="5" spans="1:28" ht="14.55" customHeight="1">
      <c r="A5" s="76"/>
      <c r="B5" s="84"/>
      <c r="C5" s="26" t="s">
        <v>6</v>
      </c>
      <c r="D5" s="32" t="s">
        <v>7</v>
      </c>
      <c r="E5" s="33" t="s">
        <v>21</v>
      </c>
      <c r="F5" s="24" t="s">
        <v>22</v>
      </c>
      <c r="G5" s="26" t="s">
        <v>6</v>
      </c>
      <c r="H5" s="32" t="s">
        <v>7</v>
      </c>
      <c r="I5" s="33" t="s">
        <v>21</v>
      </c>
      <c r="J5" s="24" t="s">
        <v>22</v>
      </c>
      <c r="K5" s="26" t="s">
        <v>6</v>
      </c>
      <c r="L5" s="32" t="s">
        <v>7</v>
      </c>
      <c r="M5" s="33" t="s">
        <v>21</v>
      </c>
      <c r="N5" s="24" t="s">
        <v>22</v>
      </c>
      <c r="O5" s="26" t="s">
        <v>6</v>
      </c>
      <c r="P5" s="32" t="s">
        <v>7</v>
      </c>
      <c r="Q5" s="33" t="s">
        <v>21</v>
      </c>
      <c r="R5" s="24" t="s">
        <v>22</v>
      </c>
      <c r="S5" s="26" t="s">
        <v>6</v>
      </c>
      <c r="T5" s="32" t="s">
        <v>7</v>
      </c>
      <c r="U5" s="33" t="s">
        <v>21</v>
      </c>
      <c r="V5" s="24" t="s">
        <v>22</v>
      </c>
      <c r="W5" s="26" t="s">
        <v>6</v>
      </c>
      <c r="X5" s="24" t="s">
        <v>7</v>
      </c>
      <c r="Y5" s="24" t="s">
        <v>22</v>
      </c>
      <c r="Z5" s="26" t="s">
        <v>6</v>
      </c>
      <c r="AA5" s="24" t="s">
        <v>7</v>
      </c>
      <c r="AB5" s="24" t="s">
        <v>22</v>
      </c>
    </row>
    <row r="6" spans="1:28" ht="24.75" customHeight="1">
      <c r="A6" s="77"/>
      <c r="B6" s="85"/>
      <c r="C6" s="27" t="s">
        <v>8</v>
      </c>
      <c r="D6" s="31" t="s">
        <v>8</v>
      </c>
      <c r="E6" s="25" t="s">
        <v>8</v>
      </c>
      <c r="F6" s="25" t="s">
        <v>8</v>
      </c>
      <c r="G6" s="27" t="s">
        <v>8</v>
      </c>
      <c r="H6" s="31" t="s">
        <v>8</v>
      </c>
      <c r="I6" s="25" t="s">
        <v>8</v>
      </c>
      <c r="J6" s="25" t="s">
        <v>8</v>
      </c>
      <c r="K6" s="27" t="s">
        <v>8</v>
      </c>
      <c r="L6" s="31" t="s">
        <v>8</v>
      </c>
      <c r="M6" s="25" t="s">
        <v>8</v>
      </c>
      <c r="N6" s="25" t="s">
        <v>8</v>
      </c>
      <c r="O6" s="27" t="s">
        <v>8</v>
      </c>
      <c r="P6" s="31" t="s">
        <v>8</v>
      </c>
      <c r="Q6" s="25" t="s">
        <v>8</v>
      </c>
      <c r="R6" s="25" t="s">
        <v>8</v>
      </c>
      <c r="S6" s="27" t="s">
        <v>8</v>
      </c>
      <c r="T6" s="31" t="s">
        <v>8</v>
      </c>
      <c r="U6" s="25" t="s">
        <v>8</v>
      </c>
      <c r="V6" s="25" t="s">
        <v>8</v>
      </c>
      <c r="W6" s="27" t="s">
        <v>8</v>
      </c>
      <c r="X6" s="27" t="s">
        <v>8</v>
      </c>
      <c r="Y6" s="25" t="s">
        <v>8</v>
      </c>
      <c r="Z6" s="27" t="s">
        <v>8</v>
      </c>
      <c r="AA6" s="45" t="s">
        <v>8</v>
      </c>
      <c r="AB6" s="25" t="s">
        <v>8</v>
      </c>
    </row>
    <row r="7" spans="1:28">
      <c r="A7" s="34">
        <v>1</v>
      </c>
      <c r="B7" s="16">
        <v>1</v>
      </c>
      <c r="C7" s="28">
        <v>0</v>
      </c>
      <c r="D7" s="28">
        <v>4</v>
      </c>
      <c r="E7" s="28">
        <v>0</v>
      </c>
      <c r="F7" s="28">
        <v>0</v>
      </c>
      <c r="G7" s="28">
        <v>0</v>
      </c>
      <c r="H7" s="28">
        <v>3</v>
      </c>
      <c r="I7" s="28">
        <v>0</v>
      </c>
      <c r="J7" s="28">
        <v>0</v>
      </c>
      <c r="K7" s="28">
        <v>0</v>
      </c>
      <c r="L7" s="28">
        <v>2</v>
      </c>
      <c r="M7" s="28">
        <v>0</v>
      </c>
      <c r="N7" s="28">
        <v>0</v>
      </c>
      <c r="O7" s="28">
        <v>0</v>
      </c>
      <c r="P7" s="28">
        <v>4</v>
      </c>
      <c r="Q7" s="28">
        <v>0</v>
      </c>
      <c r="R7" s="28">
        <v>0</v>
      </c>
      <c r="S7" s="28">
        <v>0</v>
      </c>
      <c r="T7" s="28">
        <v>4</v>
      </c>
      <c r="U7" s="28">
        <v>0</v>
      </c>
      <c r="V7" s="28">
        <v>0</v>
      </c>
      <c r="W7" s="28">
        <v>0</v>
      </c>
      <c r="X7" s="28">
        <v>4</v>
      </c>
      <c r="Y7" s="46">
        <v>0</v>
      </c>
      <c r="Z7" s="46">
        <v>0</v>
      </c>
      <c r="AA7" s="46">
        <v>0</v>
      </c>
      <c r="AB7" s="46">
        <v>0</v>
      </c>
    </row>
    <row r="8" spans="1:28">
      <c r="A8" s="34">
        <v>1</v>
      </c>
      <c r="B8" s="16">
        <v>2</v>
      </c>
      <c r="C8" s="28">
        <v>1</v>
      </c>
      <c r="D8" s="28">
        <v>1</v>
      </c>
      <c r="E8" s="28">
        <v>0</v>
      </c>
      <c r="F8" s="28">
        <v>1</v>
      </c>
      <c r="G8" s="28">
        <v>1</v>
      </c>
      <c r="H8" s="28">
        <v>1</v>
      </c>
      <c r="I8" s="28">
        <v>0</v>
      </c>
      <c r="J8" s="28">
        <v>1</v>
      </c>
      <c r="K8" s="28">
        <v>1</v>
      </c>
      <c r="L8" s="28">
        <v>1</v>
      </c>
      <c r="M8" s="28">
        <v>0</v>
      </c>
      <c r="N8" s="28">
        <v>1</v>
      </c>
      <c r="O8" s="28">
        <v>1</v>
      </c>
      <c r="P8" s="28">
        <v>1</v>
      </c>
      <c r="Q8" s="28">
        <v>0</v>
      </c>
      <c r="R8" s="28">
        <v>1</v>
      </c>
      <c r="S8" s="28">
        <v>1</v>
      </c>
      <c r="T8" s="28">
        <v>1</v>
      </c>
      <c r="U8" s="28">
        <v>0</v>
      </c>
      <c r="V8" s="28">
        <v>1</v>
      </c>
      <c r="W8" s="28">
        <v>1</v>
      </c>
      <c r="X8" s="28">
        <v>1</v>
      </c>
      <c r="Y8" s="46">
        <v>0</v>
      </c>
      <c r="Z8" s="46">
        <v>0</v>
      </c>
      <c r="AA8" s="46">
        <v>0</v>
      </c>
      <c r="AB8" s="46">
        <v>0</v>
      </c>
    </row>
    <row r="9" spans="1:28">
      <c r="A9" s="34">
        <v>1</v>
      </c>
      <c r="B9" s="16">
        <v>3</v>
      </c>
      <c r="C9" s="28">
        <v>2</v>
      </c>
      <c r="D9" s="28">
        <v>2</v>
      </c>
      <c r="E9" s="28">
        <v>0</v>
      </c>
      <c r="F9" s="28">
        <v>1</v>
      </c>
      <c r="G9" s="28">
        <v>2</v>
      </c>
      <c r="H9" s="28">
        <v>2</v>
      </c>
      <c r="I9" s="28">
        <v>0</v>
      </c>
      <c r="J9" s="28">
        <v>1</v>
      </c>
      <c r="K9" s="28">
        <v>2</v>
      </c>
      <c r="L9" s="28">
        <v>2</v>
      </c>
      <c r="M9" s="28">
        <v>0</v>
      </c>
      <c r="N9" s="28">
        <v>1</v>
      </c>
      <c r="O9" s="28">
        <v>2</v>
      </c>
      <c r="P9" s="28">
        <v>2</v>
      </c>
      <c r="Q9" s="28">
        <v>0</v>
      </c>
      <c r="R9" s="28">
        <v>1</v>
      </c>
      <c r="S9" s="28">
        <v>2</v>
      </c>
      <c r="T9" s="28">
        <v>2</v>
      </c>
      <c r="U9" s="28">
        <v>0</v>
      </c>
      <c r="V9" s="28">
        <v>1</v>
      </c>
      <c r="W9" s="28">
        <v>2</v>
      </c>
      <c r="X9" s="28">
        <v>2</v>
      </c>
      <c r="Y9" s="46">
        <v>0</v>
      </c>
      <c r="Z9" s="46">
        <v>0</v>
      </c>
      <c r="AA9" s="46">
        <v>0</v>
      </c>
      <c r="AB9" s="46">
        <v>0</v>
      </c>
    </row>
    <row r="10" spans="1:28">
      <c r="A10" s="34">
        <v>1</v>
      </c>
      <c r="B10" s="16">
        <v>4</v>
      </c>
      <c r="C10" s="28">
        <v>1</v>
      </c>
      <c r="D10" s="28">
        <v>0</v>
      </c>
      <c r="E10" s="28">
        <v>0</v>
      </c>
      <c r="F10" s="28">
        <v>0</v>
      </c>
      <c r="G10" s="28">
        <v>1</v>
      </c>
      <c r="H10" s="28">
        <v>0</v>
      </c>
      <c r="I10" s="28">
        <v>0</v>
      </c>
      <c r="J10" s="28">
        <v>0</v>
      </c>
      <c r="K10" s="28">
        <v>1</v>
      </c>
      <c r="L10" s="28">
        <v>0</v>
      </c>
      <c r="M10" s="28">
        <v>0</v>
      </c>
      <c r="N10" s="28">
        <v>0</v>
      </c>
      <c r="O10" s="28">
        <v>1</v>
      </c>
      <c r="P10" s="28">
        <v>0</v>
      </c>
      <c r="Q10" s="28">
        <v>0</v>
      </c>
      <c r="R10" s="28">
        <v>0</v>
      </c>
      <c r="S10" s="28">
        <v>1</v>
      </c>
      <c r="T10" s="28">
        <v>0</v>
      </c>
      <c r="U10" s="28">
        <v>0</v>
      </c>
      <c r="V10" s="28">
        <v>0</v>
      </c>
      <c r="W10" s="28">
        <v>1</v>
      </c>
      <c r="X10" s="28">
        <v>0</v>
      </c>
      <c r="Y10" s="46">
        <v>0</v>
      </c>
      <c r="Z10" s="46">
        <v>0</v>
      </c>
      <c r="AA10" s="46">
        <v>0</v>
      </c>
      <c r="AB10" s="46">
        <v>0</v>
      </c>
    </row>
    <row r="11" spans="1:28">
      <c r="A11" s="34">
        <v>1</v>
      </c>
      <c r="B11" s="16">
        <v>5</v>
      </c>
      <c r="C11" s="28">
        <v>0</v>
      </c>
      <c r="D11" s="28">
        <v>7</v>
      </c>
      <c r="E11" s="28">
        <v>0</v>
      </c>
      <c r="F11" s="28">
        <v>2</v>
      </c>
      <c r="G11" s="28">
        <v>0</v>
      </c>
      <c r="H11" s="28">
        <v>7</v>
      </c>
      <c r="I11" s="28">
        <v>0</v>
      </c>
      <c r="J11" s="28">
        <v>2</v>
      </c>
      <c r="K11" s="28">
        <v>0</v>
      </c>
      <c r="L11" s="28">
        <v>7</v>
      </c>
      <c r="M11" s="28">
        <v>0</v>
      </c>
      <c r="N11" s="28">
        <v>2</v>
      </c>
      <c r="O11" s="28">
        <v>0</v>
      </c>
      <c r="P11" s="28">
        <v>7</v>
      </c>
      <c r="Q11" s="28">
        <v>0</v>
      </c>
      <c r="R11" s="28">
        <v>2</v>
      </c>
      <c r="S11" s="28">
        <v>0</v>
      </c>
      <c r="T11" s="28">
        <v>7</v>
      </c>
      <c r="U11" s="28">
        <v>0</v>
      </c>
      <c r="V11" s="28">
        <v>2</v>
      </c>
      <c r="W11" s="28">
        <v>0</v>
      </c>
      <c r="X11" s="28">
        <v>7</v>
      </c>
      <c r="Y11" s="46">
        <v>0</v>
      </c>
      <c r="Z11" s="46">
        <v>0</v>
      </c>
      <c r="AA11" s="46">
        <v>0</v>
      </c>
      <c r="AB11" s="46">
        <v>0</v>
      </c>
    </row>
    <row r="12" spans="1:28">
      <c r="A12" s="34">
        <v>1</v>
      </c>
      <c r="B12" s="16">
        <v>6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46">
        <v>0</v>
      </c>
      <c r="Z12" s="46">
        <v>0</v>
      </c>
      <c r="AA12" s="46">
        <v>0</v>
      </c>
      <c r="AB12" s="46">
        <v>0</v>
      </c>
    </row>
    <row r="13" spans="1:28">
      <c r="A13" s="34">
        <v>1</v>
      </c>
      <c r="B13" s="16">
        <v>7</v>
      </c>
      <c r="C13" s="28">
        <v>0</v>
      </c>
      <c r="D13" s="28">
        <v>1</v>
      </c>
      <c r="E13" s="28">
        <v>0</v>
      </c>
      <c r="F13" s="28">
        <v>0</v>
      </c>
      <c r="G13" s="28">
        <v>0</v>
      </c>
      <c r="H13" s="28">
        <v>1</v>
      </c>
      <c r="I13" s="28">
        <v>0</v>
      </c>
      <c r="J13" s="28">
        <v>0</v>
      </c>
      <c r="K13" s="28">
        <v>0</v>
      </c>
      <c r="L13" s="28">
        <v>1</v>
      </c>
      <c r="M13" s="28">
        <v>0</v>
      </c>
      <c r="N13" s="28">
        <v>0</v>
      </c>
      <c r="O13" s="28">
        <v>0</v>
      </c>
      <c r="P13" s="28">
        <v>1</v>
      </c>
      <c r="Q13" s="28">
        <v>0</v>
      </c>
      <c r="R13" s="28">
        <v>0</v>
      </c>
      <c r="S13" s="28">
        <v>0</v>
      </c>
      <c r="T13" s="28">
        <v>1</v>
      </c>
      <c r="U13" s="28">
        <v>0</v>
      </c>
      <c r="V13" s="28">
        <v>0</v>
      </c>
      <c r="W13" s="28">
        <v>0</v>
      </c>
      <c r="X13" s="28">
        <v>1</v>
      </c>
      <c r="Y13" s="46">
        <v>0</v>
      </c>
      <c r="Z13" s="46">
        <v>0</v>
      </c>
      <c r="AA13" s="46">
        <v>0</v>
      </c>
      <c r="AB13" s="46">
        <v>0</v>
      </c>
    </row>
    <row r="14" spans="1:28">
      <c r="A14" s="34">
        <v>1</v>
      </c>
      <c r="B14" s="16">
        <v>8</v>
      </c>
      <c r="C14" s="28">
        <v>0</v>
      </c>
      <c r="D14" s="28">
        <v>1</v>
      </c>
      <c r="E14" s="28">
        <v>0</v>
      </c>
      <c r="F14" s="28">
        <v>3</v>
      </c>
      <c r="G14" s="28">
        <v>0</v>
      </c>
      <c r="H14" s="28">
        <v>1</v>
      </c>
      <c r="I14" s="28">
        <v>0</v>
      </c>
      <c r="J14" s="28">
        <v>3</v>
      </c>
      <c r="K14" s="28">
        <v>0</v>
      </c>
      <c r="L14" s="28">
        <v>1</v>
      </c>
      <c r="M14" s="28">
        <v>0</v>
      </c>
      <c r="N14" s="28">
        <v>3</v>
      </c>
      <c r="O14" s="28">
        <v>0</v>
      </c>
      <c r="P14" s="28">
        <v>1</v>
      </c>
      <c r="Q14" s="28">
        <v>0</v>
      </c>
      <c r="R14" s="28">
        <v>3</v>
      </c>
      <c r="S14" s="28">
        <v>0</v>
      </c>
      <c r="T14" s="28">
        <v>1</v>
      </c>
      <c r="U14" s="28">
        <v>0</v>
      </c>
      <c r="V14" s="28">
        <v>3</v>
      </c>
      <c r="W14" s="28">
        <v>0</v>
      </c>
      <c r="X14" s="28">
        <v>1</v>
      </c>
      <c r="Y14" s="46">
        <v>0</v>
      </c>
      <c r="Z14" s="46">
        <v>0</v>
      </c>
      <c r="AA14" s="46">
        <v>0</v>
      </c>
      <c r="AB14" s="46">
        <v>0</v>
      </c>
    </row>
    <row r="15" spans="1:28">
      <c r="A15" s="34">
        <v>1</v>
      </c>
      <c r="B15" s="16">
        <v>9</v>
      </c>
      <c r="C15" s="28">
        <v>3</v>
      </c>
      <c r="D15" s="28">
        <v>1</v>
      </c>
      <c r="E15" s="28">
        <v>0</v>
      </c>
      <c r="F15" s="28">
        <v>2</v>
      </c>
      <c r="G15" s="28">
        <v>3</v>
      </c>
      <c r="H15" s="28">
        <v>1</v>
      </c>
      <c r="I15" s="28">
        <v>0</v>
      </c>
      <c r="J15" s="28">
        <v>2</v>
      </c>
      <c r="K15" s="28">
        <v>3</v>
      </c>
      <c r="L15" s="28">
        <v>1</v>
      </c>
      <c r="M15" s="28">
        <v>0</v>
      </c>
      <c r="N15" s="28">
        <v>2</v>
      </c>
      <c r="O15" s="28">
        <v>3</v>
      </c>
      <c r="P15" s="28">
        <v>1</v>
      </c>
      <c r="Q15" s="28">
        <v>0</v>
      </c>
      <c r="R15" s="28">
        <v>2</v>
      </c>
      <c r="S15" s="28">
        <v>3</v>
      </c>
      <c r="T15" s="28">
        <v>1</v>
      </c>
      <c r="U15" s="28">
        <v>0</v>
      </c>
      <c r="V15" s="28">
        <v>2</v>
      </c>
      <c r="W15" s="28">
        <v>3</v>
      </c>
      <c r="X15" s="28">
        <v>1</v>
      </c>
      <c r="Y15" s="46">
        <v>0</v>
      </c>
      <c r="Z15" s="46">
        <v>0</v>
      </c>
      <c r="AA15" s="46">
        <v>0</v>
      </c>
      <c r="AB15" s="46">
        <v>0</v>
      </c>
    </row>
    <row r="16" spans="1:28">
      <c r="A16" s="34">
        <v>1</v>
      </c>
      <c r="B16" s="16">
        <v>10</v>
      </c>
      <c r="C16" s="28">
        <v>5</v>
      </c>
      <c r="D16" s="28">
        <v>1</v>
      </c>
      <c r="E16" s="28">
        <v>1</v>
      </c>
      <c r="F16" s="28">
        <v>1</v>
      </c>
      <c r="G16" s="28">
        <v>5</v>
      </c>
      <c r="H16" s="28">
        <v>1</v>
      </c>
      <c r="I16" s="28">
        <v>1</v>
      </c>
      <c r="J16" s="28">
        <v>1</v>
      </c>
      <c r="K16" s="28">
        <v>5</v>
      </c>
      <c r="L16" s="28">
        <v>1</v>
      </c>
      <c r="M16" s="28">
        <v>1</v>
      </c>
      <c r="N16" s="28">
        <v>1</v>
      </c>
      <c r="O16" s="28">
        <v>5</v>
      </c>
      <c r="P16" s="28">
        <v>1</v>
      </c>
      <c r="Q16" s="28">
        <v>1</v>
      </c>
      <c r="R16" s="28">
        <v>1</v>
      </c>
      <c r="S16" s="28">
        <v>5</v>
      </c>
      <c r="T16" s="28">
        <v>1</v>
      </c>
      <c r="U16" s="28">
        <v>1</v>
      </c>
      <c r="V16" s="28">
        <v>1</v>
      </c>
      <c r="W16" s="28">
        <v>3</v>
      </c>
      <c r="X16" s="28">
        <v>1</v>
      </c>
      <c r="Y16" s="46">
        <v>0</v>
      </c>
      <c r="Z16" s="46">
        <v>0</v>
      </c>
      <c r="AA16" s="46">
        <v>0</v>
      </c>
      <c r="AB16" s="46">
        <v>0</v>
      </c>
    </row>
    <row r="17" spans="1:28">
      <c r="A17" s="34">
        <v>1</v>
      </c>
      <c r="B17" s="16">
        <v>11</v>
      </c>
      <c r="C17" s="28">
        <v>3</v>
      </c>
      <c r="D17" s="28">
        <v>3</v>
      </c>
      <c r="E17" s="28">
        <v>0</v>
      </c>
      <c r="F17" s="28">
        <v>0</v>
      </c>
      <c r="G17" s="28">
        <v>3</v>
      </c>
      <c r="H17" s="28">
        <v>3</v>
      </c>
      <c r="I17" s="28">
        <v>0</v>
      </c>
      <c r="J17" s="28">
        <v>0</v>
      </c>
      <c r="K17" s="28">
        <v>3</v>
      </c>
      <c r="L17" s="28">
        <v>3</v>
      </c>
      <c r="M17" s="28">
        <v>0</v>
      </c>
      <c r="N17" s="28">
        <v>0</v>
      </c>
      <c r="O17" s="28">
        <v>3</v>
      </c>
      <c r="P17" s="28">
        <v>3</v>
      </c>
      <c r="Q17" s="28">
        <v>0</v>
      </c>
      <c r="R17" s="28">
        <v>0</v>
      </c>
      <c r="S17" s="28">
        <v>3</v>
      </c>
      <c r="T17" s="28">
        <v>3</v>
      </c>
      <c r="U17" s="28">
        <v>0</v>
      </c>
      <c r="V17" s="28">
        <v>0</v>
      </c>
      <c r="W17" s="28">
        <v>0</v>
      </c>
      <c r="X17" s="28">
        <v>3</v>
      </c>
      <c r="Y17" s="46">
        <v>0</v>
      </c>
      <c r="Z17" s="46">
        <v>0</v>
      </c>
      <c r="AA17" s="46">
        <v>0</v>
      </c>
      <c r="AB17" s="46">
        <v>0</v>
      </c>
    </row>
    <row r="18" spans="1:28">
      <c r="A18" s="34">
        <v>1</v>
      </c>
      <c r="B18" s="16">
        <v>12</v>
      </c>
      <c r="C18" s="28">
        <v>9</v>
      </c>
      <c r="D18" s="28">
        <v>5</v>
      </c>
      <c r="E18" s="28">
        <v>0</v>
      </c>
      <c r="F18" s="28">
        <v>3</v>
      </c>
      <c r="G18" s="28">
        <v>9</v>
      </c>
      <c r="H18" s="28">
        <v>5</v>
      </c>
      <c r="I18" s="28">
        <v>0</v>
      </c>
      <c r="J18" s="28">
        <v>3</v>
      </c>
      <c r="K18" s="28">
        <v>8</v>
      </c>
      <c r="L18" s="28">
        <v>5</v>
      </c>
      <c r="M18" s="28">
        <v>0</v>
      </c>
      <c r="N18" s="28">
        <v>3</v>
      </c>
      <c r="O18" s="28">
        <v>9</v>
      </c>
      <c r="P18" s="28">
        <v>5</v>
      </c>
      <c r="Q18" s="28">
        <v>0</v>
      </c>
      <c r="R18" s="28">
        <v>3</v>
      </c>
      <c r="S18" s="28">
        <v>9</v>
      </c>
      <c r="T18" s="28">
        <v>5</v>
      </c>
      <c r="U18" s="28">
        <v>0</v>
      </c>
      <c r="V18" s="28">
        <v>3</v>
      </c>
      <c r="W18" s="28">
        <v>9</v>
      </c>
      <c r="X18" s="28">
        <v>5</v>
      </c>
      <c r="Y18" s="46">
        <v>0</v>
      </c>
      <c r="Z18" s="46">
        <v>0</v>
      </c>
      <c r="AA18" s="46">
        <v>0</v>
      </c>
      <c r="AB18" s="46">
        <v>0</v>
      </c>
    </row>
    <row r="19" spans="1:28">
      <c r="A19" s="35">
        <v>2</v>
      </c>
      <c r="B19" s="16">
        <v>1</v>
      </c>
      <c r="C19" s="28">
        <v>1</v>
      </c>
      <c r="D19" s="28">
        <v>2</v>
      </c>
      <c r="E19" s="28">
        <v>0</v>
      </c>
      <c r="F19" s="28">
        <v>2</v>
      </c>
      <c r="G19" s="28">
        <v>1</v>
      </c>
      <c r="H19" s="28">
        <v>2</v>
      </c>
      <c r="I19" s="28">
        <v>0</v>
      </c>
      <c r="J19" s="28">
        <v>2</v>
      </c>
      <c r="K19" s="28">
        <v>1</v>
      </c>
      <c r="L19" s="28">
        <v>2</v>
      </c>
      <c r="M19" s="28">
        <v>0</v>
      </c>
      <c r="N19" s="28">
        <v>2</v>
      </c>
      <c r="O19" s="28">
        <v>1</v>
      </c>
      <c r="P19" s="28">
        <v>2</v>
      </c>
      <c r="Q19" s="28">
        <v>0</v>
      </c>
      <c r="R19" s="28">
        <v>2</v>
      </c>
      <c r="S19" s="28">
        <v>1</v>
      </c>
      <c r="T19" s="28">
        <v>2</v>
      </c>
      <c r="U19" s="28">
        <v>0</v>
      </c>
      <c r="V19" s="28">
        <v>2</v>
      </c>
      <c r="W19" s="28">
        <v>1</v>
      </c>
      <c r="X19" s="28">
        <v>0</v>
      </c>
      <c r="Y19" s="46">
        <v>0</v>
      </c>
      <c r="Z19" s="46">
        <v>0</v>
      </c>
      <c r="AA19" s="46">
        <v>0</v>
      </c>
      <c r="AB19" s="46">
        <v>0</v>
      </c>
    </row>
    <row r="20" spans="1:28">
      <c r="A20" s="35">
        <v>2</v>
      </c>
      <c r="B20" s="16">
        <v>2</v>
      </c>
      <c r="C20" s="28">
        <v>0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46">
        <v>0</v>
      </c>
      <c r="Z20" s="46">
        <v>0</v>
      </c>
      <c r="AA20" s="46">
        <v>0</v>
      </c>
      <c r="AB20" s="46">
        <v>0</v>
      </c>
    </row>
    <row r="21" spans="1:28">
      <c r="A21" s="35">
        <v>2</v>
      </c>
      <c r="B21" s="57">
        <v>3</v>
      </c>
      <c r="C21" s="28">
        <v>0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46">
        <v>0</v>
      </c>
      <c r="Z21" s="46">
        <v>0</v>
      </c>
      <c r="AA21" s="46">
        <v>0</v>
      </c>
      <c r="AB21" s="46">
        <v>0</v>
      </c>
    </row>
    <row r="22" spans="1:28">
      <c r="A22" s="35">
        <v>2</v>
      </c>
      <c r="B22" s="16">
        <v>4</v>
      </c>
      <c r="C22" s="28">
        <v>1</v>
      </c>
      <c r="D22" s="28">
        <v>3</v>
      </c>
      <c r="E22" s="28">
        <v>1</v>
      </c>
      <c r="F22" s="28">
        <v>2</v>
      </c>
      <c r="G22" s="28">
        <v>1</v>
      </c>
      <c r="H22" s="28">
        <v>3</v>
      </c>
      <c r="I22" s="28">
        <v>1</v>
      </c>
      <c r="J22" s="28">
        <v>2</v>
      </c>
      <c r="K22" s="28">
        <v>1</v>
      </c>
      <c r="L22" s="28">
        <v>3</v>
      </c>
      <c r="M22" s="28">
        <v>1</v>
      </c>
      <c r="N22" s="28">
        <v>2</v>
      </c>
      <c r="O22" s="28">
        <v>1</v>
      </c>
      <c r="P22" s="28">
        <v>3</v>
      </c>
      <c r="Q22" s="28">
        <v>1</v>
      </c>
      <c r="R22" s="28">
        <v>2</v>
      </c>
      <c r="S22" s="28">
        <v>1</v>
      </c>
      <c r="T22" s="28">
        <v>3</v>
      </c>
      <c r="U22" s="28">
        <v>1</v>
      </c>
      <c r="V22" s="28">
        <v>2</v>
      </c>
      <c r="W22" s="28">
        <v>1</v>
      </c>
      <c r="X22" s="28">
        <v>2</v>
      </c>
      <c r="Y22" s="46">
        <v>0</v>
      </c>
      <c r="Z22" s="46">
        <v>0</v>
      </c>
      <c r="AA22" s="46">
        <v>0</v>
      </c>
      <c r="AB22" s="46">
        <v>0</v>
      </c>
    </row>
    <row r="23" spans="1:28">
      <c r="A23" s="35">
        <v>2</v>
      </c>
      <c r="B23" s="16">
        <v>5</v>
      </c>
      <c r="C23" s="28">
        <v>1</v>
      </c>
      <c r="D23" s="28">
        <v>2</v>
      </c>
      <c r="E23" s="28">
        <v>0</v>
      </c>
      <c r="F23" s="28">
        <v>2</v>
      </c>
      <c r="G23" s="28">
        <v>1</v>
      </c>
      <c r="H23" s="28">
        <v>2</v>
      </c>
      <c r="I23" s="28">
        <v>0</v>
      </c>
      <c r="J23" s="28">
        <v>2</v>
      </c>
      <c r="K23" s="28">
        <v>1</v>
      </c>
      <c r="L23" s="28">
        <v>2</v>
      </c>
      <c r="M23" s="28">
        <v>0</v>
      </c>
      <c r="N23" s="28">
        <v>2</v>
      </c>
      <c r="O23" s="28">
        <v>1</v>
      </c>
      <c r="P23" s="28">
        <v>2</v>
      </c>
      <c r="Q23" s="28">
        <v>0</v>
      </c>
      <c r="R23" s="28">
        <v>2</v>
      </c>
      <c r="S23" s="28">
        <v>1</v>
      </c>
      <c r="T23" s="28">
        <v>2</v>
      </c>
      <c r="U23" s="28">
        <v>0</v>
      </c>
      <c r="V23" s="28">
        <v>2</v>
      </c>
      <c r="W23" s="28">
        <v>0</v>
      </c>
      <c r="X23" s="28">
        <v>1</v>
      </c>
      <c r="Y23" s="46">
        <v>0</v>
      </c>
      <c r="Z23" s="46">
        <v>0</v>
      </c>
      <c r="AA23" s="46">
        <v>0</v>
      </c>
      <c r="AB23" s="46">
        <v>0</v>
      </c>
    </row>
    <row r="24" spans="1:28">
      <c r="A24" s="35">
        <v>2</v>
      </c>
      <c r="B24" s="16">
        <v>6</v>
      </c>
      <c r="C24" s="28">
        <v>1</v>
      </c>
      <c r="D24" s="28">
        <v>0</v>
      </c>
      <c r="E24" s="28">
        <v>0</v>
      </c>
      <c r="F24" s="28">
        <v>1</v>
      </c>
      <c r="G24" s="28">
        <v>2</v>
      </c>
      <c r="H24" s="28">
        <v>0</v>
      </c>
      <c r="I24" s="28">
        <v>0</v>
      </c>
      <c r="J24" s="28">
        <v>1</v>
      </c>
      <c r="K24" s="28">
        <v>1</v>
      </c>
      <c r="L24" s="28">
        <v>0</v>
      </c>
      <c r="M24" s="28">
        <v>0</v>
      </c>
      <c r="N24" s="28">
        <v>1</v>
      </c>
      <c r="O24" s="28">
        <v>1</v>
      </c>
      <c r="P24" s="28">
        <v>0</v>
      </c>
      <c r="Q24" s="28">
        <v>0</v>
      </c>
      <c r="R24" s="28">
        <v>1</v>
      </c>
      <c r="S24" s="28">
        <v>1</v>
      </c>
      <c r="T24" s="28">
        <v>0</v>
      </c>
      <c r="U24" s="28">
        <v>0</v>
      </c>
      <c r="V24" s="28">
        <v>1</v>
      </c>
      <c r="W24" s="28">
        <v>1</v>
      </c>
      <c r="X24" s="28">
        <v>0</v>
      </c>
      <c r="Y24" s="46">
        <v>0</v>
      </c>
      <c r="Z24" s="46">
        <v>0</v>
      </c>
      <c r="AA24" s="46">
        <v>0</v>
      </c>
      <c r="AB24" s="46">
        <v>0</v>
      </c>
    </row>
    <row r="25" spans="1:28">
      <c r="A25" s="35">
        <v>2</v>
      </c>
      <c r="B25" s="16">
        <v>7</v>
      </c>
      <c r="C25" s="28">
        <v>3</v>
      </c>
      <c r="D25" s="28">
        <v>1</v>
      </c>
      <c r="E25" s="28">
        <v>1</v>
      </c>
      <c r="F25" s="28">
        <v>1</v>
      </c>
      <c r="G25" s="28">
        <v>4</v>
      </c>
      <c r="H25" s="28">
        <v>1</v>
      </c>
      <c r="I25" s="28">
        <v>1</v>
      </c>
      <c r="J25" s="28">
        <v>1</v>
      </c>
      <c r="K25" s="28">
        <v>5</v>
      </c>
      <c r="L25" s="28">
        <v>1</v>
      </c>
      <c r="M25" s="28">
        <v>1</v>
      </c>
      <c r="N25" s="28">
        <v>1</v>
      </c>
      <c r="O25" s="28">
        <v>4</v>
      </c>
      <c r="P25" s="28">
        <v>1</v>
      </c>
      <c r="Q25" s="28">
        <v>1</v>
      </c>
      <c r="R25" s="28">
        <v>1</v>
      </c>
      <c r="S25" s="28">
        <v>5</v>
      </c>
      <c r="T25" s="28">
        <v>1</v>
      </c>
      <c r="U25" s="28">
        <v>1</v>
      </c>
      <c r="V25" s="28">
        <v>1</v>
      </c>
      <c r="W25" s="28">
        <v>5</v>
      </c>
      <c r="X25" s="28">
        <v>2</v>
      </c>
      <c r="Y25" s="46">
        <v>0</v>
      </c>
      <c r="Z25" s="46">
        <v>0</v>
      </c>
      <c r="AA25" s="46">
        <v>0</v>
      </c>
      <c r="AB25" s="46">
        <v>0</v>
      </c>
    </row>
    <row r="26" spans="1:28">
      <c r="A26" s="35">
        <v>2</v>
      </c>
      <c r="B26" s="16">
        <v>8</v>
      </c>
      <c r="C26" s="28">
        <v>0</v>
      </c>
      <c r="D26" s="28">
        <v>1</v>
      </c>
      <c r="E26" s="28">
        <v>1</v>
      </c>
      <c r="F26" s="28">
        <v>1</v>
      </c>
      <c r="G26" s="28">
        <v>0</v>
      </c>
      <c r="H26" s="28">
        <v>1</v>
      </c>
      <c r="I26" s="28">
        <v>1</v>
      </c>
      <c r="J26" s="28">
        <v>1</v>
      </c>
      <c r="K26" s="28">
        <v>0</v>
      </c>
      <c r="L26" s="28">
        <v>1</v>
      </c>
      <c r="M26" s="28">
        <v>1</v>
      </c>
      <c r="N26" s="28">
        <v>1</v>
      </c>
      <c r="O26" s="28">
        <v>0</v>
      </c>
      <c r="P26" s="28">
        <v>1</v>
      </c>
      <c r="Q26" s="28">
        <v>1</v>
      </c>
      <c r="R26" s="28">
        <v>1</v>
      </c>
      <c r="S26" s="28">
        <v>0</v>
      </c>
      <c r="T26" s="28">
        <v>1</v>
      </c>
      <c r="U26" s="28">
        <v>1</v>
      </c>
      <c r="V26" s="28">
        <v>1</v>
      </c>
      <c r="W26" s="28">
        <v>0</v>
      </c>
      <c r="X26" s="28">
        <v>1</v>
      </c>
      <c r="Y26" s="46">
        <v>0</v>
      </c>
      <c r="Z26" s="46">
        <v>0</v>
      </c>
      <c r="AA26" s="46">
        <v>0</v>
      </c>
      <c r="AB26" s="46">
        <v>0</v>
      </c>
    </row>
    <row r="27" spans="1:28">
      <c r="A27" s="35">
        <v>2</v>
      </c>
      <c r="B27" s="16">
        <v>9</v>
      </c>
      <c r="C27" s="28">
        <v>3</v>
      </c>
      <c r="D27" s="28">
        <v>2</v>
      </c>
      <c r="E27" s="28">
        <v>0</v>
      </c>
      <c r="F27" s="28">
        <v>1</v>
      </c>
      <c r="G27" s="28">
        <v>3</v>
      </c>
      <c r="H27" s="28">
        <v>3</v>
      </c>
      <c r="I27" s="28">
        <v>0</v>
      </c>
      <c r="J27" s="28">
        <v>1</v>
      </c>
      <c r="K27" s="28">
        <v>3</v>
      </c>
      <c r="L27" s="28">
        <v>3</v>
      </c>
      <c r="M27" s="28">
        <v>0</v>
      </c>
      <c r="N27" s="28">
        <v>1</v>
      </c>
      <c r="O27" s="28">
        <v>3</v>
      </c>
      <c r="P27" s="28">
        <v>3</v>
      </c>
      <c r="Q27" s="28">
        <v>0</v>
      </c>
      <c r="R27" s="28">
        <v>1</v>
      </c>
      <c r="S27" s="28">
        <v>3</v>
      </c>
      <c r="T27" s="28">
        <v>3</v>
      </c>
      <c r="U27" s="28">
        <v>0</v>
      </c>
      <c r="V27" s="28">
        <v>1</v>
      </c>
      <c r="W27" s="28">
        <v>2</v>
      </c>
      <c r="X27" s="28">
        <v>0</v>
      </c>
      <c r="Y27" s="46">
        <v>0</v>
      </c>
      <c r="Z27" s="46">
        <v>0</v>
      </c>
      <c r="AA27" s="46">
        <v>0</v>
      </c>
      <c r="AB27" s="46">
        <v>0</v>
      </c>
    </row>
    <row r="28" spans="1:28">
      <c r="A28" s="35">
        <v>2</v>
      </c>
      <c r="B28" s="16">
        <v>10</v>
      </c>
      <c r="C28" s="28">
        <v>4</v>
      </c>
      <c r="D28" s="28">
        <v>3</v>
      </c>
      <c r="E28" s="28">
        <v>0</v>
      </c>
      <c r="F28" s="28">
        <v>0</v>
      </c>
      <c r="G28" s="28">
        <v>4</v>
      </c>
      <c r="H28" s="28">
        <v>3</v>
      </c>
      <c r="I28" s="28">
        <v>0</v>
      </c>
      <c r="J28" s="28">
        <v>0</v>
      </c>
      <c r="K28" s="28">
        <v>4</v>
      </c>
      <c r="L28" s="28">
        <v>3</v>
      </c>
      <c r="M28" s="28">
        <v>0</v>
      </c>
      <c r="N28" s="28">
        <v>0</v>
      </c>
      <c r="O28" s="28">
        <v>3</v>
      </c>
      <c r="P28" s="28">
        <v>3</v>
      </c>
      <c r="Q28" s="28">
        <v>0</v>
      </c>
      <c r="R28" s="28">
        <v>0</v>
      </c>
      <c r="S28" s="28">
        <v>4</v>
      </c>
      <c r="T28" s="28">
        <v>3</v>
      </c>
      <c r="U28" s="28">
        <v>0</v>
      </c>
      <c r="V28" s="28">
        <v>0</v>
      </c>
      <c r="W28" s="28">
        <v>2</v>
      </c>
      <c r="X28" s="28">
        <v>2</v>
      </c>
      <c r="Y28" s="46">
        <v>0</v>
      </c>
      <c r="Z28" s="46">
        <v>0</v>
      </c>
      <c r="AA28" s="46">
        <v>0</v>
      </c>
      <c r="AB28" s="46">
        <v>0</v>
      </c>
    </row>
    <row r="29" spans="1:28">
      <c r="A29" s="35">
        <v>2</v>
      </c>
      <c r="B29" s="16">
        <v>11</v>
      </c>
      <c r="C29" s="28">
        <v>7</v>
      </c>
      <c r="D29" s="28">
        <v>8</v>
      </c>
      <c r="E29" s="28">
        <v>0</v>
      </c>
      <c r="F29" s="28">
        <v>2</v>
      </c>
      <c r="G29" s="28">
        <v>6</v>
      </c>
      <c r="H29" s="28">
        <v>12</v>
      </c>
      <c r="I29" s="28">
        <v>0</v>
      </c>
      <c r="J29" s="28">
        <v>1</v>
      </c>
      <c r="K29" s="28">
        <v>7</v>
      </c>
      <c r="L29" s="28">
        <v>12</v>
      </c>
      <c r="M29" s="28">
        <v>0</v>
      </c>
      <c r="N29" s="28">
        <v>1</v>
      </c>
      <c r="O29" s="28">
        <v>7</v>
      </c>
      <c r="P29" s="28">
        <v>11</v>
      </c>
      <c r="Q29" s="28">
        <v>0</v>
      </c>
      <c r="R29" s="28">
        <v>1</v>
      </c>
      <c r="S29" s="28">
        <v>7</v>
      </c>
      <c r="T29" s="28">
        <v>12</v>
      </c>
      <c r="U29" s="28">
        <v>0</v>
      </c>
      <c r="V29" s="28">
        <v>1</v>
      </c>
      <c r="W29" s="28">
        <v>6</v>
      </c>
      <c r="X29" s="28">
        <v>3</v>
      </c>
      <c r="Y29" s="46">
        <v>0</v>
      </c>
      <c r="Z29" s="46">
        <v>0</v>
      </c>
      <c r="AA29" s="46">
        <v>0</v>
      </c>
      <c r="AB29" s="46">
        <v>0</v>
      </c>
    </row>
    <row r="30" spans="1:28">
      <c r="A30" s="35">
        <v>2</v>
      </c>
      <c r="B30" s="16">
        <v>12</v>
      </c>
      <c r="C30" s="28">
        <v>0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12</v>
      </c>
      <c r="Y30" s="46">
        <v>0</v>
      </c>
      <c r="Z30" s="46">
        <v>0</v>
      </c>
      <c r="AA30" s="46">
        <v>0</v>
      </c>
      <c r="AB30" s="46">
        <v>0</v>
      </c>
    </row>
    <row r="31" spans="1:28">
      <c r="A31" s="35">
        <v>2</v>
      </c>
      <c r="B31" s="16">
        <v>13</v>
      </c>
      <c r="C31" s="28">
        <v>1</v>
      </c>
      <c r="D31" s="28">
        <v>1</v>
      </c>
      <c r="E31" s="28">
        <v>0</v>
      </c>
      <c r="F31" s="28">
        <v>2</v>
      </c>
      <c r="G31" s="28">
        <v>1</v>
      </c>
      <c r="H31" s="28">
        <v>1</v>
      </c>
      <c r="I31" s="28">
        <v>0</v>
      </c>
      <c r="J31" s="28">
        <v>2</v>
      </c>
      <c r="K31" s="28">
        <v>1</v>
      </c>
      <c r="L31" s="28">
        <v>1</v>
      </c>
      <c r="M31" s="28">
        <v>0</v>
      </c>
      <c r="N31" s="28">
        <v>2</v>
      </c>
      <c r="O31" s="28">
        <v>1</v>
      </c>
      <c r="P31" s="28">
        <v>1</v>
      </c>
      <c r="Q31" s="28">
        <v>0</v>
      </c>
      <c r="R31" s="28">
        <v>2</v>
      </c>
      <c r="S31" s="28">
        <v>1</v>
      </c>
      <c r="T31" s="28">
        <v>1</v>
      </c>
      <c r="U31" s="28">
        <v>0</v>
      </c>
      <c r="V31" s="28">
        <v>2</v>
      </c>
      <c r="W31" s="28">
        <v>1</v>
      </c>
      <c r="X31" s="28">
        <v>1</v>
      </c>
      <c r="Y31" s="28">
        <v>0</v>
      </c>
      <c r="Z31" s="28">
        <v>0</v>
      </c>
      <c r="AA31" s="46"/>
      <c r="AB31" s="46"/>
    </row>
    <row r="32" spans="1:28">
      <c r="A32" s="35">
        <v>2</v>
      </c>
      <c r="B32" s="16">
        <v>14</v>
      </c>
      <c r="C32" s="28">
        <v>2</v>
      </c>
      <c r="D32" s="28">
        <v>1</v>
      </c>
      <c r="E32" s="28">
        <v>0</v>
      </c>
      <c r="F32" s="28">
        <v>2</v>
      </c>
      <c r="G32" s="28">
        <v>2</v>
      </c>
      <c r="H32" s="28">
        <v>1</v>
      </c>
      <c r="I32" s="28">
        <v>0</v>
      </c>
      <c r="J32" s="28">
        <v>2</v>
      </c>
      <c r="K32" s="28">
        <v>2</v>
      </c>
      <c r="L32" s="28">
        <v>1</v>
      </c>
      <c r="M32" s="28">
        <v>0</v>
      </c>
      <c r="N32" s="28">
        <v>2</v>
      </c>
      <c r="O32" s="28">
        <v>2</v>
      </c>
      <c r="P32" s="28">
        <v>1</v>
      </c>
      <c r="Q32" s="28">
        <v>0</v>
      </c>
      <c r="R32" s="28">
        <v>2</v>
      </c>
      <c r="S32" s="28">
        <v>2</v>
      </c>
      <c r="T32" s="28">
        <v>1</v>
      </c>
      <c r="U32" s="28">
        <v>0</v>
      </c>
      <c r="V32" s="28">
        <v>2</v>
      </c>
      <c r="W32" s="28">
        <v>2</v>
      </c>
      <c r="X32" s="28">
        <v>1</v>
      </c>
      <c r="Y32" s="28">
        <v>0</v>
      </c>
      <c r="Z32" s="28">
        <v>0</v>
      </c>
      <c r="AA32" s="46"/>
      <c r="AB32" s="46"/>
    </row>
    <row r="33" spans="1:28">
      <c r="A33" s="36">
        <v>3</v>
      </c>
      <c r="B33" s="16">
        <v>1</v>
      </c>
      <c r="C33" s="28">
        <v>0</v>
      </c>
      <c r="D33" s="28">
        <v>1</v>
      </c>
      <c r="E33" s="28">
        <v>0</v>
      </c>
      <c r="F33" s="28">
        <v>0</v>
      </c>
      <c r="G33" s="28">
        <v>0</v>
      </c>
      <c r="H33" s="28">
        <v>1</v>
      </c>
      <c r="I33" s="28">
        <v>0</v>
      </c>
      <c r="J33" s="28">
        <v>0</v>
      </c>
      <c r="K33" s="28">
        <v>0</v>
      </c>
      <c r="L33" s="28">
        <v>1</v>
      </c>
      <c r="M33" s="28">
        <v>0</v>
      </c>
      <c r="N33" s="28">
        <v>0</v>
      </c>
      <c r="O33" s="28">
        <v>0</v>
      </c>
      <c r="P33" s="28">
        <v>1</v>
      </c>
      <c r="Q33" s="28">
        <v>0</v>
      </c>
      <c r="R33" s="28">
        <v>0</v>
      </c>
      <c r="S33" s="28">
        <v>0</v>
      </c>
      <c r="T33" s="28">
        <v>1</v>
      </c>
      <c r="U33" s="28">
        <v>0</v>
      </c>
      <c r="V33" s="28">
        <v>0</v>
      </c>
      <c r="W33" s="28">
        <v>0</v>
      </c>
      <c r="X33" s="28">
        <v>0</v>
      </c>
      <c r="Y33" s="46">
        <v>0</v>
      </c>
      <c r="Z33" s="46">
        <v>0</v>
      </c>
      <c r="AA33" s="46">
        <v>0</v>
      </c>
      <c r="AB33" s="46">
        <v>0</v>
      </c>
    </row>
    <row r="34" spans="1:28">
      <c r="A34" s="36">
        <v>3</v>
      </c>
      <c r="B34" s="16">
        <v>2</v>
      </c>
      <c r="C34" s="28">
        <v>2</v>
      </c>
      <c r="D34" s="28">
        <v>1</v>
      </c>
      <c r="E34" s="28">
        <v>0</v>
      </c>
      <c r="F34" s="28">
        <v>0</v>
      </c>
      <c r="G34" s="28">
        <v>2</v>
      </c>
      <c r="H34" s="28">
        <v>1</v>
      </c>
      <c r="I34" s="28">
        <v>0</v>
      </c>
      <c r="J34" s="28">
        <v>0</v>
      </c>
      <c r="K34" s="28">
        <v>2</v>
      </c>
      <c r="L34" s="28">
        <v>1</v>
      </c>
      <c r="M34" s="28">
        <v>0</v>
      </c>
      <c r="N34" s="28">
        <v>0</v>
      </c>
      <c r="O34" s="28">
        <v>2</v>
      </c>
      <c r="P34" s="28">
        <v>1</v>
      </c>
      <c r="Q34" s="28">
        <v>0</v>
      </c>
      <c r="R34" s="28">
        <v>0</v>
      </c>
      <c r="S34" s="28">
        <v>2</v>
      </c>
      <c r="T34" s="28">
        <v>1</v>
      </c>
      <c r="U34" s="28">
        <v>0</v>
      </c>
      <c r="V34" s="28">
        <v>0</v>
      </c>
      <c r="W34" s="28">
        <v>2</v>
      </c>
      <c r="X34" s="28">
        <v>0</v>
      </c>
      <c r="Y34" s="46">
        <v>0</v>
      </c>
      <c r="Z34" s="46">
        <v>0</v>
      </c>
      <c r="AA34" s="46">
        <v>0</v>
      </c>
      <c r="AB34" s="46">
        <v>0</v>
      </c>
    </row>
    <row r="35" spans="1:28">
      <c r="A35" s="36">
        <v>3</v>
      </c>
      <c r="B35" s="16">
        <v>3</v>
      </c>
      <c r="C35" s="28">
        <v>2</v>
      </c>
      <c r="D35" s="28">
        <v>0</v>
      </c>
      <c r="E35" s="28">
        <v>0</v>
      </c>
      <c r="F35" s="28">
        <v>0</v>
      </c>
      <c r="G35" s="28">
        <v>1</v>
      </c>
      <c r="H35" s="28">
        <v>0</v>
      </c>
      <c r="I35" s="28">
        <v>0</v>
      </c>
      <c r="J35" s="28">
        <v>0</v>
      </c>
      <c r="K35" s="28">
        <v>2</v>
      </c>
      <c r="L35" s="28">
        <v>0</v>
      </c>
      <c r="M35" s="28">
        <v>0</v>
      </c>
      <c r="N35" s="28">
        <v>0</v>
      </c>
      <c r="O35" s="28">
        <v>2</v>
      </c>
      <c r="P35" s="28">
        <v>0</v>
      </c>
      <c r="Q35" s="28">
        <v>0</v>
      </c>
      <c r="R35" s="28">
        <v>0</v>
      </c>
      <c r="S35" s="28">
        <v>2</v>
      </c>
      <c r="T35" s="28">
        <v>0</v>
      </c>
      <c r="U35" s="28">
        <v>0</v>
      </c>
      <c r="V35" s="28">
        <v>0</v>
      </c>
      <c r="W35" s="28">
        <v>2</v>
      </c>
      <c r="X35" s="28">
        <v>0</v>
      </c>
      <c r="Y35" s="46">
        <v>1</v>
      </c>
      <c r="Z35" s="46">
        <v>0</v>
      </c>
      <c r="AA35" s="46">
        <v>0</v>
      </c>
      <c r="AB35" s="46">
        <v>0</v>
      </c>
    </row>
    <row r="36" spans="1:28">
      <c r="A36" s="36">
        <v>3</v>
      </c>
      <c r="B36" s="16">
        <v>4</v>
      </c>
      <c r="C36" s="28">
        <v>0</v>
      </c>
      <c r="D36" s="28">
        <v>0</v>
      </c>
      <c r="E36" s="28">
        <v>1</v>
      </c>
      <c r="F36" s="28">
        <v>0</v>
      </c>
      <c r="G36" s="28">
        <v>0</v>
      </c>
      <c r="H36" s="28">
        <v>0</v>
      </c>
      <c r="I36" s="28">
        <v>1</v>
      </c>
      <c r="J36" s="28">
        <v>0</v>
      </c>
      <c r="K36" s="28">
        <v>0</v>
      </c>
      <c r="L36" s="28">
        <v>0</v>
      </c>
      <c r="M36" s="28">
        <v>1</v>
      </c>
      <c r="N36" s="28">
        <v>0</v>
      </c>
      <c r="O36" s="28">
        <v>0</v>
      </c>
      <c r="P36" s="28">
        <v>0</v>
      </c>
      <c r="Q36" s="28">
        <v>1</v>
      </c>
      <c r="R36" s="28">
        <v>0</v>
      </c>
      <c r="S36" s="28">
        <v>0</v>
      </c>
      <c r="T36" s="28">
        <v>0</v>
      </c>
      <c r="U36" s="28">
        <v>1</v>
      </c>
      <c r="V36" s="28">
        <v>0</v>
      </c>
      <c r="W36" s="28">
        <v>0</v>
      </c>
      <c r="X36" s="28">
        <v>0</v>
      </c>
      <c r="Y36" s="46">
        <v>0</v>
      </c>
      <c r="Z36" s="46">
        <v>0</v>
      </c>
      <c r="AA36" s="46">
        <v>0</v>
      </c>
      <c r="AB36" s="46">
        <v>0</v>
      </c>
    </row>
    <row r="37" spans="1:28">
      <c r="A37" s="36">
        <v>3</v>
      </c>
      <c r="B37" s="16">
        <v>5</v>
      </c>
      <c r="C37" s="28">
        <v>0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46">
        <v>0</v>
      </c>
      <c r="Z37" s="46">
        <v>0</v>
      </c>
      <c r="AA37" s="46">
        <v>0</v>
      </c>
      <c r="AB37" s="46">
        <v>0</v>
      </c>
    </row>
    <row r="38" spans="1:28">
      <c r="A38" s="36">
        <v>3</v>
      </c>
      <c r="B38" s="16">
        <v>6</v>
      </c>
      <c r="C38" s="28">
        <v>0</v>
      </c>
      <c r="D38" s="28">
        <v>0</v>
      </c>
      <c r="E38" s="28">
        <v>0</v>
      </c>
      <c r="F38" s="28">
        <v>1</v>
      </c>
      <c r="G38" s="28">
        <v>0</v>
      </c>
      <c r="H38" s="28">
        <v>0</v>
      </c>
      <c r="I38" s="28">
        <v>0</v>
      </c>
      <c r="J38" s="28">
        <v>1</v>
      </c>
      <c r="K38" s="28">
        <v>0</v>
      </c>
      <c r="L38" s="28">
        <v>0</v>
      </c>
      <c r="M38" s="28">
        <v>0</v>
      </c>
      <c r="N38" s="28">
        <v>1</v>
      </c>
      <c r="O38" s="28">
        <v>0</v>
      </c>
      <c r="P38" s="28">
        <v>0</v>
      </c>
      <c r="Q38" s="28">
        <v>0</v>
      </c>
      <c r="R38" s="28">
        <v>1</v>
      </c>
      <c r="S38" s="28">
        <v>0</v>
      </c>
      <c r="T38" s="28">
        <v>0</v>
      </c>
      <c r="U38" s="28">
        <v>0</v>
      </c>
      <c r="V38" s="28">
        <v>1</v>
      </c>
      <c r="W38" s="28">
        <v>0</v>
      </c>
      <c r="X38" s="28">
        <v>1</v>
      </c>
      <c r="Y38" s="46">
        <v>0</v>
      </c>
      <c r="Z38" s="46">
        <v>0</v>
      </c>
      <c r="AA38" s="46">
        <v>0</v>
      </c>
      <c r="AB38" s="46">
        <v>0</v>
      </c>
    </row>
    <row r="39" spans="1:28">
      <c r="A39" s="36">
        <v>3</v>
      </c>
      <c r="B39" s="16">
        <v>7</v>
      </c>
      <c r="C39" s="28">
        <v>1</v>
      </c>
      <c r="D39" s="28">
        <v>0</v>
      </c>
      <c r="E39" s="28">
        <v>0</v>
      </c>
      <c r="F39" s="28">
        <v>0</v>
      </c>
      <c r="G39" s="28">
        <v>1</v>
      </c>
      <c r="H39" s="28">
        <v>0</v>
      </c>
      <c r="I39" s="28">
        <v>0</v>
      </c>
      <c r="J39" s="28">
        <v>0</v>
      </c>
      <c r="K39" s="28">
        <v>1</v>
      </c>
      <c r="L39" s="28">
        <v>0</v>
      </c>
      <c r="M39" s="28">
        <v>0</v>
      </c>
      <c r="N39" s="28">
        <v>0</v>
      </c>
      <c r="O39" s="28">
        <v>1</v>
      </c>
      <c r="P39" s="28">
        <v>0</v>
      </c>
      <c r="Q39" s="28">
        <v>0</v>
      </c>
      <c r="R39" s="28">
        <v>0</v>
      </c>
      <c r="S39" s="28">
        <v>1</v>
      </c>
      <c r="T39" s="28">
        <v>0</v>
      </c>
      <c r="U39" s="28">
        <v>0</v>
      </c>
      <c r="V39" s="28">
        <v>0</v>
      </c>
      <c r="W39" s="28">
        <v>1</v>
      </c>
      <c r="X39" s="28">
        <v>0</v>
      </c>
      <c r="Y39" s="46">
        <v>0</v>
      </c>
      <c r="Z39" s="46">
        <v>0</v>
      </c>
      <c r="AA39" s="46">
        <v>0</v>
      </c>
      <c r="AB39" s="46">
        <v>0</v>
      </c>
    </row>
    <row r="40" spans="1:28">
      <c r="A40" s="37">
        <v>4</v>
      </c>
      <c r="B40" s="16">
        <v>1</v>
      </c>
      <c r="C40" s="28">
        <v>0</v>
      </c>
      <c r="D40" s="28">
        <v>0</v>
      </c>
      <c r="E40" s="28">
        <v>0</v>
      </c>
      <c r="F40" s="28">
        <v>1</v>
      </c>
      <c r="G40" s="28">
        <v>0</v>
      </c>
      <c r="H40" s="28">
        <v>0</v>
      </c>
      <c r="I40" s="28">
        <v>0</v>
      </c>
      <c r="J40" s="28">
        <v>1</v>
      </c>
      <c r="K40" s="28">
        <v>0</v>
      </c>
      <c r="L40" s="28">
        <v>0</v>
      </c>
      <c r="M40" s="28">
        <v>0</v>
      </c>
      <c r="N40" s="28">
        <v>1</v>
      </c>
      <c r="O40" s="28">
        <v>0</v>
      </c>
      <c r="P40" s="28">
        <v>0</v>
      </c>
      <c r="Q40" s="28">
        <v>0</v>
      </c>
      <c r="R40" s="28">
        <v>1</v>
      </c>
      <c r="S40" s="28">
        <v>0</v>
      </c>
      <c r="T40" s="28">
        <v>0</v>
      </c>
      <c r="U40" s="28">
        <v>0</v>
      </c>
      <c r="V40" s="28">
        <v>1</v>
      </c>
      <c r="W40" s="28">
        <v>0</v>
      </c>
      <c r="X40" s="28">
        <v>1</v>
      </c>
      <c r="Y40" s="46">
        <v>0</v>
      </c>
      <c r="Z40" s="46">
        <v>0</v>
      </c>
      <c r="AA40" s="46">
        <v>0</v>
      </c>
      <c r="AB40" s="46">
        <v>0</v>
      </c>
    </row>
    <row r="41" spans="1:28">
      <c r="A41" s="37">
        <v>4</v>
      </c>
      <c r="B41" s="16">
        <v>2</v>
      </c>
      <c r="C41" s="28">
        <v>0</v>
      </c>
      <c r="D41" s="28">
        <v>2</v>
      </c>
      <c r="E41" s="28">
        <v>0</v>
      </c>
      <c r="F41" s="28">
        <v>0</v>
      </c>
      <c r="G41" s="28">
        <v>0</v>
      </c>
      <c r="H41" s="28">
        <v>2</v>
      </c>
      <c r="I41" s="28">
        <v>0</v>
      </c>
      <c r="J41" s="28">
        <v>0</v>
      </c>
      <c r="K41" s="28">
        <v>0</v>
      </c>
      <c r="L41" s="28">
        <v>2</v>
      </c>
      <c r="M41" s="28">
        <v>0</v>
      </c>
      <c r="N41" s="28">
        <v>0</v>
      </c>
      <c r="O41" s="28">
        <v>0</v>
      </c>
      <c r="P41" s="28">
        <v>2</v>
      </c>
      <c r="Q41" s="28">
        <v>0</v>
      </c>
      <c r="R41" s="28">
        <v>0</v>
      </c>
      <c r="S41" s="28">
        <v>0</v>
      </c>
      <c r="T41" s="28">
        <v>2</v>
      </c>
      <c r="U41" s="28">
        <v>0</v>
      </c>
      <c r="V41" s="28">
        <v>0</v>
      </c>
      <c r="W41" s="28">
        <v>0</v>
      </c>
      <c r="X41" s="28">
        <v>0</v>
      </c>
      <c r="Y41" s="46">
        <v>0</v>
      </c>
      <c r="Z41" s="46">
        <v>0</v>
      </c>
      <c r="AA41" s="46">
        <v>0</v>
      </c>
      <c r="AB41" s="46">
        <v>0</v>
      </c>
    </row>
    <row r="42" spans="1:28">
      <c r="A42" s="37">
        <v>4</v>
      </c>
      <c r="B42" s="57">
        <v>3</v>
      </c>
      <c r="C42" s="28">
        <v>1</v>
      </c>
      <c r="D42" s="28">
        <v>0</v>
      </c>
      <c r="E42" s="28">
        <v>0</v>
      </c>
      <c r="F42" s="28">
        <v>0</v>
      </c>
      <c r="G42" s="28">
        <v>1</v>
      </c>
      <c r="H42" s="28">
        <v>0</v>
      </c>
      <c r="I42" s="28">
        <v>0</v>
      </c>
      <c r="J42" s="28">
        <v>0</v>
      </c>
      <c r="K42" s="28">
        <v>1</v>
      </c>
      <c r="L42" s="28">
        <v>0</v>
      </c>
      <c r="M42" s="28">
        <v>0</v>
      </c>
      <c r="N42" s="28">
        <v>0</v>
      </c>
      <c r="O42" s="28">
        <v>1</v>
      </c>
      <c r="P42" s="28">
        <v>0</v>
      </c>
      <c r="Q42" s="28">
        <v>0</v>
      </c>
      <c r="R42" s="28">
        <v>0</v>
      </c>
      <c r="S42" s="28">
        <v>1</v>
      </c>
      <c r="T42" s="28">
        <v>0</v>
      </c>
      <c r="U42" s="28">
        <v>0</v>
      </c>
      <c r="V42" s="28">
        <v>0</v>
      </c>
      <c r="W42" s="28">
        <v>1</v>
      </c>
      <c r="X42" s="28">
        <v>0</v>
      </c>
      <c r="Y42" s="46">
        <v>0</v>
      </c>
      <c r="Z42" s="46">
        <v>0</v>
      </c>
      <c r="AA42" s="46">
        <v>0</v>
      </c>
      <c r="AB42" s="46">
        <v>0</v>
      </c>
    </row>
    <row r="43" spans="1:28">
      <c r="A43" s="37">
        <v>4</v>
      </c>
      <c r="B43" s="16">
        <v>4</v>
      </c>
      <c r="C43" s="28">
        <v>1</v>
      </c>
      <c r="D43" s="28">
        <v>1</v>
      </c>
      <c r="E43" s="28">
        <v>0</v>
      </c>
      <c r="F43" s="28">
        <v>0</v>
      </c>
      <c r="G43" s="28">
        <v>1</v>
      </c>
      <c r="H43" s="28">
        <v>0</v>
      </c>
      <c r="I43" s="28">
        <v>0</v>
      </c>
      <c r="J43" s="28">
        <v>0</v>
      </c>
      <c r="K43" s="28">
        <v>1</v>
      </c>
      <c r="L43" s="28">
        <v>0</v>
      </c>
      <c r="M43" s="28">
        <v>0</v>
      </c>
      <c r="N43" s="28">
        <v>0</v>
      </c>
      <c r="O43" s="28">
        <v>1</v>
      </c>
      <c r="P43" s="28">
        <v>0</v>
      </c>
      <c r="Q43" s="28">
        <v>0</v>
      </c>
      <c r="R43" s="28">
        <v>0</v>
      </c>
      <c r="S43" s="28">
        <v>1</v>
      </c>
      <c r="T43" s="28">
        <v>0</v>
      </c>
      <c r="U43" s="28">
        <v>0</v>
      </c>
      <c r="V43" s="28">
        <v>0</v>
      </c>
      <c r="W43" s="28">
        <v>1</v>
      </c>
      <c r="X43" s="28">
        <v>0</v>
      </c>
      <c r="Y43" s="46">
        <v>0</v>
      </c>
      <c r="Z43" s="46">
        <v>0</v>
      </c>
      <c r="AA43" s="46">
        <v>0</v>
      </c>
      <c r="AB43" s="46">
        <v>0</v>
      </c>
    </row>
    <row r="44" spans="1:28">
      <c r="A44" s="37">
        <v>4</v>
      </c>
      <c r="B44" s="16">
        <v>5</v>
      </c>
      <c r="C44" s="28">
        <v>0</v>
      </c>
      <c r="D44" s="28">
        <v>1</v>
      </c>
      <c r="E44" s="28">
        <v>0</v>
      </c>
      <c r="F44" s="28">
        <v>0</v>
      </c>
      <c r="G44" s="28">
        <v>0</v>
      </c>
      <c r="H44" s="28">
        <v>1</v>
      </c>
      <c r="I44" s="28">
        <v>0</v>
      </c>
      <c r="J44" s="28">
        <v>0</v>
      </c>
      <c r="K44" s="28">
        <v>0</v>
      </c>
      <c r="L44" s="28">
        <v>1</v>
      </c>
      <c r="M44" s="28">
        <v>0</v>
      </c>
      <c r="N44" s="28">
        <v>0</v>
      </c>
      <c r="O44" s="28">
        <v>0</v>
      </c>
      <c r="P44" s="28">
        <v>1</v>
      </c>
      <c r="Q44" s="28">
        <v>0</v>
      </c>
      <c r="R44" s="28">
        <v>0</v>
      </c>
      <c r="S44" s="28">
        <v>0</v>
      </c>
      <c r="T44" s="28">
        <v>1</v>
      </c>
      <c r="U44" s="28">
        <v>0</v>
      </c>
      <c r="V44" s="28">
        <v>0</v>
      </c>
      <c r="W44" s="28">
        <v>0</v>
      </c>
      <c r="X44" s="28">
        <v>0</v>
      </c>
      <c r="Y44" s="46">
        <v>0</v>
      </c>
      <c r="Z44" s="46">
        <v>0</v>
      </c>
      <c r="AA44" s="46">
        <v>0</v>
      </c>
      <c r="AB44" s="46">
        <v>0</v>
      </c>
    </row>
    <row r="45" spans="1:28">
      <c r="A45" s="37">
        <v>4</v>
      </c>
      <c r="B45" s="16">
        <v>6</v>
      </c>
      <c r="C45" s="28">
        <v>1</v>
      </c>
      <c r="D45" s="28">
        <v>0</v>
      </c>
      <c r="E45" s="28">
        <v>0</v>
      </c>
      <c r="F45" s="28">
        <v>0</v>
      </c>
      <c r="G45" s="28">
        <v>1</v>
      </c>
      <c r="H45" s="28">
        <v>0</v>
      </c>
      <c r="I45" s="28">
        <v>0</v>
      </c>
      <c r="J45" s="28">
        <v>0</v>
      </c>
      <c r="K45" s="28">
        <v>1</v>
      </c>
      <c r="L45" s="28">
        <v>0</v>
      </c>
      <c r="M45" s="28">
        <v>0</v>
      </c>
      <c r="N45" s="28">
        <v>0</v>
      </c>
      <c r="O45" s="28">
        <v>1</v>
      </c>
      <c r="P45" s="28">
        <v>0</v>
      </c>
      <c r="Q45" s="28">
        <v>0</v>
      </c>
      <c r="R45" s="28">
        <v>0</v>
      </c>
      <c r="S45" s="28">
        <v>1</v>
      </c>
      <c r="T45" s="28">
        <v>0</v>
      </c>
      <c r="U45" s="28">
        <v>0</v>
      </c>
      <c r="V45" s="28">
        <v>0</v>
      </c>
      <c r="W45" s="28">
        <v>1</v>
      </c>
      <c r="X45" s="28">
        <v>0</v>
      </c>
      <c r="Y45" s="46">
        <v>0</v>
      </c>
      <c r="Z45" s="46">
        <v>0</v>
      </c>
      <c r="AA45" s="46">
        <v>0</v>
      </c>
      <c r="AB45" s="46">
        <v>0</v>
      </c>
    </row>
    <row r="46" spans="1:28">
      <c r="A46" s="37">
        <v>4</v>
      </c>
      <c r="B46" s="16">
        <v>7</v>
      </c>
      <c r="C46" s="28">
        <v>1</v>
      </c>
      <c r="D46" s="28">
        <v>0</v>
      </c>
      <c r="E46" s="28">
        <v>0</v>
      </c>
      <c r="F46" s="28">
        <v>1</v>
      </c>
      <c r="G46" s="28">
        <v>2</v>
      </c>
      <c r="H46" s="28">
        <v>0</v>
      </c>
      <c r="I46" s="28">
        <v>0</v>
      </c>
      <c r="J46" s="28">
        <v>1</v>
      </c>
      <c r="K46" s="28">
        <v>1</v>
      </c>
      <c r="L46" s="28">
        <v>0</v>
      </c>
      <c r="M46" s="28">
        <v>0</v>
      </c>
      <c r="N46" s="28">
        <v>1</v>
      </c>
      <c r="O46" s="28">
        <v>1</v>
      </c>
      <c r="P46" s="28">
        <v>0</v>
      </c>
      <c r="Q46" s="28">
        <v>0</v>
      </c>
      <c r="R46" s="28">
        <v>1</v>
      </c>
      <c r="S46" s="28">
        <v>1</v>
      </c>
      <c r="T46" s="28">
        <v>0</v>
      </c>
      <c r="U46" s="28">
        <v>0</v>
      </c>
      <c r="V46" s="28">
        <v>1</v>
      </c>
      <c r="W46" s="28">
        <v>1</v>
      </c>
      <c r="X46" s="28">
        <v>1</v>
      </c>
      <c r="Y46" s="46">
        <v>0</v>
      </c>
      <c r="Z46" s="46">
        <v>0</v>
      </c>
      <c r="AA46" s="46">
        <v>0</v>
      </c>
      <c r="AB46" s="46">
        <v>0</v>
      </c>
    </row>
    <row r="47" spans="1:28">
      <c r="A47" s="37">
        <v>4</v>
      </c>
      <c r="B47" s="57">
        <v>8</v>
      </c>
      <c r="C47" s="28">
        <v>1</v>
      </c>
      <c r="D47" s="28">
        <v>0</v>
      </c>
      <c r="E47" s="28">
        <v>0</v>
      </c>
      <c r="F47" s="28">
        <v>0</v>
      </c>
      <c r="G47" s="28">
        <v>1</v>
      </c>
      <c r="H47" s="28">
        <v>0</v>
      </c>
      <c r="I47" s="28">
        <v>0</v>
      </c>
      <c r="J47" s="28">
        <v>0</v>
      </c>
      <c r="K47" s="28">
        <v>1</v>
      </c>
      <c r="L47" s="28">
        <v>0</v>
      </c>
      <c r="M47" s="28">
        <v>0</v>
      </c>
      <c r="N47" s="28">
        <v>0</v>
      </c>
      <c r="O47" s="28">
        <v>1</v>
      </c>
      <c r="P47" s="28">
        <v>0</v>
      </c>
      <c r="Q47" s="28">
        <v>0</v>
      </c>
      <c r="R47" s="28">
        <v>0</v>
      </c>
      <c r="S47" s="28">
        <v>1</v>
      </c>
      <c r="T47" s="28">
        <v>0</v>
      </c>
      <c r="U47" s="28">
        <v>0</v>
      </c>
      <c r="V47" s="28">
        <v>0</v>
      </c>
      <c r="W47" s="28">
        <v>1</v>
      </c>
      <c r="X47" s="28">
        <v>0</v>
      </c>
      <c r="Y47" s="46">
        <v>0</v>
      </c>
      <c r="Z47" s="46">
        <v>0</v>
      </c>
      <c r="AA47" s="46">
        <v>0</v>
      </c>
      <c r="AB47" s="46">
        <v>0</v>
      </c>
    </row>
    <row r="48" spans="1:28">
      <c r="A48" s="37">
        <v>4</v>
      </c>
      <c r="B48" s="16">
        <v>9</v>
      </c>
      <c r="C48" s="28">
        <v>1</v>
      </c>
      <c r="D48" s="28">
        <v>0</v>
      </c>
      <c r="E48" s="28">
        <v>0</v>
      </c>
      <c r="F48" s="28">
        <v>0</v>
      </c>
      <c r="G48" s="28">
        <v>1</v>
      </c>
      <c r="H48" s="28">
        <v>0</v>
      </c>
      <c r="I48" s="28">
        <v>0</v>
      </c>
      <c r="J48" s="28">
        <v>0</v>
      </c>
      <c r="K48" s="28">
        <v>1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1</v>
      </c>
      <c r="T48" s="28">
        <v>0</v>
      </c>
      <c r="U48" s="28">
        <v>0</v>
      </c>
      <c r="V48" s="28">
        <v>0</v>
      </c>
      <c r="W48" s="28">
        <v>1</v>
      </c>
      <c r="X48" s="28">
        <v>0</v>
      </c>
      <c r="Y48" s="46">
        <v>0</v>
      </c>
      <c r="Z48" s="46">
        <v>0</v>
      </c>
      <c r="AA48" s="46">
        <v>0</v>
      </c>
      <c r="AB48" s="46">
        <v>0</v>
      </c>
    </row>
    <row r="49" spans="1:28">
      <c r="A49" s="37">
        <v>4</v>
      </c>
      <c r="B49" s="16">
        <v>10</v>
      </c>
      <c r="C49" s="28">
        <v>1</v>
      </c>
      <c r="D49" s="28">
        <v>0</v>
      </c>
      <c r="E49" s="28">
        <v>0</v>
      </c>
      <c r="F49" s="28">
        <v>0</v>
      </c>
      <c r="G49" s="28">
        <v>1</v>
      </c>
      <c r="H49" s="28">
        <v>0</v>
      </c>
      <c r="I49" s="28">
        <v>0</v>
      </c>
      <c r="J49" s="28">
        <v>0</v>
      </c>
      <c r="K49" s="28">
        <v>1</v>
      </c>
      <c r="L49" s="28">
        <v>0</v>
      </c>
      <c r="M49" s="28">
        <v>0</v>
      </c>
      <c r="N49" s="28">
        <v>0</v>
      </c>
      <c r="O49" s="28">
        <v>1</v>
      </c>
      <c r="P49" s="28">
        <v>0</v>
      </c>
      <c r="Q49" s="28">
        <v>0</v>
      </c>
      <c r="R49" s="28">
        <v>0</v>
      </c>
      <c r="S49" s="28">
        <v>1</v>
      </c>
      <c r="T49" s="28">
        <v>0</v>
      </c>
      <c r="U49" s="28">
        <v>0</v>
      </c>
      <c r="V49" s="28">
        <v>0</v>
      </c>
      <c r="W49" s="28">
        <v>1</v>
      </c>
      <c r="X49" s="28">
        <v>0</v>
      </c>
      <c r="Y49" s="46">
        <v>0</v>
      </c>
      <c r="Z49" s="46">
        <v>0</v>
      </c>
      <c r="AA49" s="46">
        <v>0</v>
      </c>
      <c r="AB49" s="46">
        <v>0</v>
      </c>
    </row>
    <row r="50" spans="1:28">
      <c r="A50" s="37">
        <v>4</v>
      </c>
      <c r="B50" s="57">
        <v>11</v>
      </c>
      <c r="C50" s="28">
        <v>0</v>
      </c>
      <c r="D50" s="28">
        <v>0</v>
      </c>
      <c r="E50" s="28">
        <v>1</v>
      </c>
      <c r="F50" s="28">
        <v>0</v>
      </c>
      <c r="G50" s="28">
        <v>0</v>
      </c>
      <c r="H50" s="28">
        <v>0</v>
      </c>
      <c r="I50" s="28">
        <v>1</v>
      </c>
      <c r="J50" s="28">
        <v>0</v>
      </c>
      <c r="K50" s="28">
        <v>0</v>
      </c>
      <c r="L50" s="28">
        <v>0</v>
      </c>
      <c r="M50" s="28">
        <v>1</v>
      </c>
      <c r="N50" s="28">
        <v>0</v>
      </c>
      <c r="O50" s="28">
        <v>0</v>
      </c>
      <c r="P50" s="28">
        <v>0</v>
      </c>
      <c r="Q50" s="28">
        <v>1</v>
      </c>
      <c r="R50" s="28">
        <v>0</v>
      </c>
      <c r="S50" s="28">
        <v>0</v>
      </c>
      <c r="T50" s="28">
        <v>0</v>
      </c>
      <c r="U50" s="28">
        <v>1</v>
      </c>
      <c r="V50" s="28">
        <v>0</v>
      </c>
      <c r="W50" s="28">
        <v>0</v>
      </c>
      <c r="X50" s="28">
        <v>0</v>
      </c>
      <c r="Y50" s="46">
        <v>0</v>
      </c>
      <c r="Z50" s="46">
        <v>0</v>
      </c>
      <c r="AA50" s="46">
        <v>0</v>
      </c>
      <c r="AB50" s="46">
        <v>0</v>
      </c>
    </row>
    <row r="51" spans="1:28">
      <c r="A51" s="37">
        <v>4</v>
      </c>
      <c r="B51" s="16">
        <v>12</v>
      </c>
      <c r="C51" s="28">
        <v>1</v>
      </c>
      <c r="D51" s="28">
        <v>0</v>
      </c>
      <c r="E51" s="28">
        <v>0</v>
      </c>
      <c r="F51" s="28">
        <v>1</v>
      </c>
      <c r="G51" s="28">
        <v>1</v>
      </c>
      <c r="H51" s="28">
        <v>0</v>
      </c>
      <c r="I51" s="28">
        <v>0</v>
      </c>
      <c r="J51" s="28">
        <v>1</v>
      </c>
      <c r="K51" s="28">
        <v>1</v>
      </c>
      <c r="L51" s="28">
        <v>0</v>
      </c>
      <c r="M51" s="28">
        <v>0</v>
      </c>
      <c r="N51" s="28">
        <v>1</v>
      </c>
      <c r="O51" s="28">
        <v>1</v>
      </c>
      <c r="P51" s="28">
        <v>0</v>
      </c>
      <c r="Q51" s="28">
        <v>0</v>
      </c>
      <c r="R51" s="28">
        <v>1</v>
      </c>
      <c r="S51" s="28">
        <v>1</v>
      </c>
      <c r="T51" s="28">
        <v>0</v>
      </c>
      <c r="U51" s="28">
        <v>0</v>
      </c>
      <c r="V51" s="28">
        <v>1</v>
      </c>
      <c r="W51" s="28">
        <v>1</v>
      </c>
      <c r="X51" s="28">
        <v>1</v>
      </c>
      <c r="Y51" s="46">
        <v>0</v>
      </c>
      <c r="Z51" s="46">
        <v>0</v>
      </c>
      <c r="AA51" s="46">
        <v>0</v>
      </c>
      <c r="AB51" s="46">
        <v>0</v>
      </c>
    </row>
    <row r="52" spans="1:28">
      <c r="A52" s="38">
        <v>6</v>
      </c>
      <c r="B52" s="16">
        <v>1</v>
      </c>
      <c r="C52" s="28">
        <v>1</v>
      </c>
      <c r="D52" s="28">
        <v>0</v>
      </c>
      <c r="E52" s="28">
        <v>0</v>
      </c>
      <c r="F52" s="28">
        <v>0</v>
      </c>
      <c r="G52" s="28">
        <v>1</v>
      </c>
      <c r="H52" s="28">
        <v>0</v>
      </c>
      <c r="I52" s="28">
        <v>0</v>
      </c>
      <c r="J52" s="28">
        <v>0</v>
      </c>
      <c r="K52" s="28">
        <v>1</v>
      </c>
      <c r="L52" s="28">
        <v>0</v>
      </c>
      <c r="M52" s="28">
        <v>0</v>
      </c>
      <c r="N52" s="28">
        <v>0</v>
      </c>
      <c r="O52" s="28">
        <v>1</v>
      </c>
      <c r="P52" s="28">
        <v>0</v>
      </c>
      <c r="Q52" s="28">
        <v>0</v>
      </c>
      <c r="R52" s="28">
        <v>0</v>
      </c>
      <c r="S52" s="28">
        <v>1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46">
        <v>0</v>
      </c>
      <c r="Z52" s="46">
        <v>0</v>
      </c>
      <c r="AA52" s="46">
        <v>0</v>
      </c>
      <c r="AB52" s="46">
        <v>0</v>
      </c>
    </row>
    <row r="53" spans="1:28">
      <c r="A53" s="38">
        <v>6</v>
      </c>
      <c r="B53" s="16">
        <v>2</v>
      </c>
      <c r="C53" s="28">
        <v>1</v>
      </c>
      <c r="D53" s="28">
        <v>0</v>
      </c>
      <c r="E53" s="28">
        <v>0</v>
      </c>
      <c r="F53" s="28">
        <v>0</v>
      </c>
      <c r="G53" s="28">
        <v>1</v>
      </c>
      <c r="H53" s="28">
        <v>0</v>
      </c>
      <c r="I53" s="28">
        <v>0</v>
      </c>
      <c r="J53" s="28">
        <v>0</v>
      </c>
      <c r="K53" s="28">
        <v>1</v>
      </c>
      <c r="L53" s="28">
        <v>0</v>
      </c>
      <c r="M53" s="28">
        <v>0</v>
      </c>
      <c r="N53" s="28">
        <v>0</v>
      </c>
      <c r="O53" s="28">
        <v>1</v>
      </c>
      <c r="P53" s="28">
        <v>0</v>
      </c>
      <c r="Q53" s="28">
        <v>0</v>
      </c>
      <c r="R53" s="28">
        <v>0</v>
      </c>
      <c r="S53" s="28">
        <v>1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46">
        <v>0</v>
      </c>
      <c r="Z53" s="46">
        <v>0</v>
      </c>
      <c r="AA53" s="46">
        <v>0</v>
      </c>
      <c r="AB53" s="46">
        <v>0</v>
      </c>
    </row>
    <row r="54" spans="1:28">
      <c r="A54" s="38">
        <v>6</v>
      </c>
      <c r="B54" s="16">
        <v>3</v>
      </c>
      <c r="C54" s="28">
        <v>1</v>
      </c>
      <c r="D54" s="28">
        <v>2</v>
      </c>
      <c r="E54" s="28">
        <v>0</v>
      </c>
      <c r="F54" s="28">
        <v>1</v>
      </c>
      <c r="G54" s="28">
        <v>1</v>
      </c>
      <c r="H54" s="28">
        <v>2</v>
      </c>
      <c r="I54" s="28">
        <v>0</v>
      </c>
      <c r="J54" s="28">
        <v>1</v>
      </c>
      <c r="K54" s="28">
        <v>1</v>
      </c>
      <c r="L54" s="28">
        <v>1</v>
      </c>
      <c r="M54" s="28">
        <v>0</v>
      </c>
      <c r="N54" s="28">
        <v>1</v>
      </c>
      <c r="O54" s="28">
        <v>1</v>
      </c>
      <c r="P54" s="28">
        <v>2</v>
      </c>
      <c r="Q54" s="28">
        <v>0</v>
      </c>
      <c r="R54" s="28">
        <v>1</v>
      </c>
      <c r="S54" s="28">
        <v>1</v>
      </c>
      <c r="T54" s="28">
        <v>2</v>
      </c>
      <c r="U54" s="28">
        <v>0</v>
      </c>
      <c r="V54" s="28">
        <v>1</v>
      </c>
      <c r="W54" s="28">
        <v>0</v>
      </c>
      <c r="X54" s="28">
        <v>0</v>
      </c>
      <c r="Y54" s="46">
        <v>0</v>
      </c>
      <c r="Z54" s="46">
        <v>0</v>
      </c>
      <c r="AA54" s="46">
        <v>0</v>
      </c>
      <c r="AB54" s="46">
        <v>0</v>
      </c>
    </row>
    <row r="55" spans="1:28">
      <c r="A55" s="39">
        <v>7</v>
      </c>
      <c r="B55" s="16">
        <v>1</v>
      </c>
      <c r="C55" s="28">
        <v>1</v>
      </c>
      <c r="D55" s="28">
        <v>0</v>
      </c>
      <c r="E55" s="28">
        <v>0</v>
      </c>
      <c r="F55" s="28">
        <v>1</v>
      </c>
      <c r="G55" s="28">
        <v>1</v>
      </c>
      <c r="H55" s="28">
        <v>0</v>
      </c>
      <c r="I55" s="28">
        <v>0</v>
      </c>
      <c r="J55" s="28">
        <v>1</v>
      </c>
      <c r="K55" s="28">
        <v>1</v>
      </c>
      <c r="L55" s="28">
        <v>0</v>
      </c>
      <c r="M55" s="28">
        <v>0</v>
      </c>
      <c r="N55" s="28">
        <v>1</v>
      </c>
      <c r="O55" s="28">
        <v>1</v>
      </c>
      <c r="P55" s="28">
        <v>0</v>
      </c>
      <c r="Q55" s="28">
        <v>0</v>
      </c>
      <c r="R55" s="28">
        <v>1</v>
      </c>
      <c r="S55" s="28">
        <v>2</v>
      </c>
      <c r="T55" s="28">
        <v>0</v>
      </c>
      <c r="U55" s="28">
        <v>0</v>
      </c>
      <c r="V55" s="28">
        <v>1</v>
      </c>
      <c r="W55" s="28">
        <v>1</v>
      </c>
      <c r="X55" s="28">
        <v>0</v>
      </c>
      <c r="Y55" s="46">
        <v>0</v>
      </c>
      <c r="Z55" s="46">
        <v>0</v>
      </c>
      <c r="AA55" s="46">
        <v>0</v>
      </c>
      <c r="AB55" s="46">
        <v>0</v>
      </c>
    </row>
    <row r="56" spans="1:28">
      <c r="A56" s="39">
        <v>7</v>
      </c>
      <c r="B56" s="16">
        <v>2</v>
      </c>
      <c r="C56" s="28">
        <v>1</v>
      </c>
      <c r="D56" s="28">
        <v>0</v>
      </c>
      <c r="E56" s="28">
        <v>0</v>
      </c>
      <c r="F56" s="28">
        <v>1</v>
      </c>
      <c r="G56" s="28">
        <v>1</v>
      </c>
      <c r="H56" s="28">
        <v>0</v>
      </c>
      <c r="I56" s="28">
        <v>0</v>
      </c>
      <c r="J56" s="28">
        <v>1</v>
      </c>
      <c r="K56" s="28">
        <v>1</v>
      </c>
      <c r="L56" s="28">
        <v>0</v>
      </c>
      <c r="M56" s="28">
        <v>0</v>
      </c>
      <c r="N56" s="28">
        <v>1</v>
      </c>
      <c r="O56" s="28">
        <v>1</v>
      </c>
      <c r="P56" s="28">
        <v>0</v>
      </c>
      <c r="Q56" s="28">
        <v>0</v>
      </c>
      <c r="R56" s="28">
        <v>1</v>
      </c>
      <c r="S56" s="28">
        <v>1</v>
      </c>
      <c r="T56" s="28">
        <v>0</v>
      </c>
      <c r="U56" s="28">
        <v>0</v>
      </c>
      <c r="V56" s="28">
        <v>1</v>
      </c>
      <c r="W56" s="28">
        <v>1</v>
      </c>
      <c r="X56" s="28">
        <v>0</v>
      </c>
      <c r="Y56" s="46">
        <v>0</v>
      </c>
      <c r="Z56" s="46">
        <v>0</v>
      </c>
      <c r="AA56" s="46">
        <v>0</v>
      </c>
      <c r="AB56" s="46">
        <v>0</v>
      </c>
    </row>
    <row r="57" spans="1:28">
      <c r="A57" s="39">
        <v>7</v>
      </c>
      <c r="B57" s="16">
        <v>3</v>
      </c>
      <c r="C57" s="28">
        <v>1</v>
      </c>
      <c r="D57" s="28">
        <v>0</v>
      </c>
      <c r="E57" s="28">
        <v>0</v>
      </c>
      <c r="F57" s="28">
        <v>1</v>
      </c>
      <c r="G57" s="28">
        <v>1</v>
      </c>
      <c r="H57" s="28">
        <v>0</v>
      </c>
      <c r="I57" s="28">
        <v>0</v>
      </c>
      <c r="J57" s="28">
        <v>1</v>
      </c>
      <c r="K57" s="28">
        <v>1</v>
      </c>
      <c r="L57" s="28">
        <v>0</v>
      </c>
      <c r="M57" s="28">
        <v>0</v>
      </c>
      <c r="N57" s="28">
        <v>1</v>
      </c>
      <c r="O57" s="28">
        <v>1</v>
      </c>
      <c r="P57" s="28">
        <v>0</v>
      </c>
      <c r="Q57" s="28">
        <v>0</v>
      </c>
      <c r="R57" s="28">
        <v>1</v>
      </c>
      <c r="S57" s="28">
        <v>1</v>
      </c>
      <c r="T57" s="28">
        <v>0</v>
      </c>
      <c r="U57" s="28">
        <v>0</v>
      </c>
      <c r="V57" s="28">
        <v>1</v>
      </c>
      <c r="W57" s="28">
        <v>1</v>
      </c>
      <c r="X57" s="28">
        <v>0</v>
      </c>
      <c r="Y57" s="46">
        <v>0</v>
      </c>
      <c r="Z57" s="46">
        <v>0</v>
      </c>
      <c r="AA57" s="46">
        <v>0</v>
      </c>
      <c r="AB57" s="46">
        <v>0</v>
      </c>
    </row>
    <row r="58" spans="1:28">
      <c r="A58" s="39">
        <v>7</v>
      </c>
      <c r="B58" s="16">
        <v>4</v>
      </c>
      <c r="C58" s="28">
        <v>0</v>
      </c>
      <c r="D58" s="28">
        <v>1</v>
      </c>
      <c r="E58" s="28">
        <v>0</v>
      </c>
      <c r="F58" s="28">
        <v>0</v>
      </c>
      <c r="G58" s="28">
        <v>0</v>
      </c>
      <c r="H58" s="28">
        <v>1</v>
      </c>
      <c r="I58" s="28">
        <v>0</v>
      </c>
      <c r="J58" s="28">
        <v>0</v>
      </c>
      <c r="K58" s="28">
        <v>0</v>
      </c>
      <c r="L58" s="28">
        <v>1</v>
      </c>
      <c r="M58" s="28">
        <v>0</v>
      </c>
      <c r="N58" s="28">
        <v>0</v>
      </c>
      <c r="O58" s="28">
        <v>0</v>
      </c>
      <c r="P58" s="28">
        <v>1</v>
      </c>
      <c r="Q58" s="28">
        <v>0</v>
      </c>
      <c r="R58" s="28">
        <v>0</v>
      </c>
      <c r="S58" s="28">
        <v>0</v>
      </c>
      <c r="T58" s="28">
        <v>1</v>
      </c>
      <c r="U58" s="28">
        <v>0</v>
      </c>
      <c r="V58" s="28">
        <v>0</v>
      </c>
      <c r="W58" s="28">
        <v>0</v>
      </c>
      <c r="X58" s="28">
        <v>1</v>
      </c>
      <c r="Y58" s="46">
        <v>0</v>
      </c>
      <c r="Z58" s="46">
        <v>0</v>
      </c>
      <c r="AA58" s="46">
        <v>0</v>
      </c>
      <c r="AB58" s="46">
        <v>0</v>
      </c>
    </row>
    <row r="59" spans="1:28">
      <c r="A59" s="39">
        <v>7</v>
      </c>
      <c r="B59" s="16">
        <v>5</v>
      </c>
      <c r="C59" s="28">
        <v>0</v>
      </c>
      <c r="D59" s="28">
        <v>0</v>
      </c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46">
        <v>0</v>
      </c>
      <c r="Z59" s="46">
        <v>0</v>
      </c>
      <c r="AA59" s="46">
        <v>0</v>
      </c>
      <c r="AB59" s="46">
        <v>0</v>
      </c>
    </row>
    <row r="60" spans="1:28">
      <c r="A60" s="39">
        <v>7</v>
      </c>
      <c r="B60" s="16">
        <v>6</v>
      </c>
      <c r="C60" s="28">
        <v>0</v>
      </c>
      <c r="D60" s="28">
        <v>0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46">
        <v>0</v>
      </c>
      <c r="Z60" s="46">
        <v>0</v>
      </c>
      <c r="AA60" s="46">
        <v>0</v>
      </c>
      <c r="AB60" s="46">
        <v>0</v>
      </c>
    </row>
    <row r="61" spans="1:28">
      <c r="A61" s="39">
        <v>7</v>
      </c>
      <c r="B61" s="16">
        <v>7</v>
      </c>
      <c r="C61" s="28">
        <v>1</v>
      </c>
      <c r="D61" s="28">
        <v>1</v>
      </c>
      <c r="E61" s="28">
        <v>0</v>
      </c>
      <c r="F61" s="28">
        <v>1</v>
      </c>
      <c r="G61" s="28">
        <v>1</v>
      </c>
      <c r="H61" s="28">
        <v>1</v>
      </c>
      <c r="I61" s="28">
        <v>0</v>
      </c>
      <c r="J61" s="28">
        <v>2</v>
      </c>
      <c r="K61" s="28">
        <v>1</v>
      </c>
      <c r="L61" s="28">
        <v>1</v>
      </c>
      <c r="M61" s="28">
        <v>0</v>
      </c>
      <c r="N61" s="28">
        <v>2</v>
      </c>
      <c r="O61" s="28">
        <v>1</v>
      </c>
      <c r="P61" s="28">
        <v>1</v>
      </c>
      <c r="Q61" s="28">
        <v>0</v>
      </c>
      <c r="R61" s="28">
        <v>2</v>
      </c>
      <c r="S61" s="28">
        <v>1</v>
      </c>
      <c r="T61" s="28">
        <v>1</v>
      </c>
      <c r="U61" s="28">
        <v>0</v>
      </c>
      <c r="V61" s="28">
        <v>2</v>
      </c>
      <c r="W61" s="28">
        <v>1</v>
      </c>
      <c r="X61" s="28">
        <v>1</v>
      </c>
      <c r="Y61" s="46">
        <v>0</v>
      </c>
      <c r="Z61" s="46">
        <v>0</v>
      </c>
      <c r="AA61" s="46">
        <v>0</v>
      </c>
      <c r="AB61" s="46">
        <v>0</v>
      </c>
    </row>
    <row r="62" spans="1:28">
      <c r="A62" s="39">
        <v>7</v>
      </c>
      <c r="B62" s="16">
        <v>8</v>
      </c>
      <c r="C62" s="28">
        <v>1</v>
      </c>
      <c r="D62" s="28">
        <v>1</v>
      </c>
      <c r="E62" s="28">
        <v>0</v>
      </c>
      <c r="F62" s="28">
        <v>2</v>
      </c>
      <c r="G62" s="28">
        <v>1</v>
      </c>
      <c r="H62" s="28">
        <v>1</v>
      </c>
      <c r="I62" s="28">
        <v>0</v>
      </c>
      <c r="J62" s="28">
        <v>1</v>
      </c>
      <c r="K62" s="28">
        <v>2</v>
      </c>
      <c r="L62" s="28">
        <v>1</v>
      </c>
      <c r="M62" s="28">
        <v>0</v>
      </c>
      <c r="N62" s="28">
        <v>0</v>
      </c>
      <c r="O62" s="28">
        <v>1</v>
      </c>
      <c r="P62" s="28">
        <v>1</v>
      </c>
      <c r="Q62" s="28">
        <v>0</v>
      </c>
      <c r="R62" s="28">
        <v>1</v>
      </c>
      <c r="S62" s="28">
        <v>1</v>
      </c>
      <c r="T62" s="28">
        <v>1</v>
      </c>
      <c r="U62" s="28">
        <v>0</v>
      </c>
      <c r="V62" s="28">
        <v>1</v>
      </c>
      <c r="W62" s="28">
        <v>1</v>
      </c>
      <c r="X62" s="28">
        <v>1</v>
      </c>
      <c r="Y62" s="46">
        <v>0</v>
      </c>
      <c r="Z62" s="46">
        <v>0</v>
      </c>
      <c r="AA62" s="46">
        <v>0</v>
      </c>
      <c r="AB62" s="46">
        <v>0</v>
      </c>
    </row>
    <row r="63" spans="1:28">
      <c r="A63" s="39">
        <v>7</v>
      </c>
      <c r="B63" s="16">
        <v>9</v>
      </c>
      <c r="C63" s="28">
        <v>1</v>
      </c>
      <c r="D63" s="28">
        <v>1</v>
      </c>
      <c r="E63" s="28">
        <v>0</v>
      </c>
      <c r="F63" s="28">
        <v>1</v>
      </c>
      <c r="G63" s="28">
        <v>1</v>
      </c>
      <c r="H63" s="28">
        <v>1</v>
      </c>
      <c r="I63" s="28">
        <v>0</v>
      </c>
      <c r="J63" s="28">
        <v>1</v>
      </c>
      <c r="K63" s="28">
        <v>1</v>
      </c>
      <c r="L63" s="28">
        <v>1</v>
      </c>
      <c r="M63" s="28">
        <v>0</v>
      </c>
      <c r="N63" s="28">
        <v>1</v>
      </c>
      <c r="O63" s="28">
        <v>1</v>
      </c>
      <c r="P63" s="28">
        <v>1</v>
      </c>
      <c r="Q63" s="28">
        <v>0</v>
      </c>
      <c r="R63" s="28">
        <v>1</v>
      </c>
      <c r="S63" s="28">
        <v>1</v>
      </c>
      <c r="T63" s="28">
        <v>1</v>
      </c>
      <c r="U63" s="28">
        <v>0</v>
      </c>
      <c r="V63" s="28">
        <v>1</v>
      </c>
      <c r="W63" s="28">
        <v>1</v>
      </c>
      <c r="X63" s="28">
        <v>1</v>
      </c>
      <c r="Y63" s="46">
        <v>0</v>
      </c>
      <c r="Z63" s="46">
        <v>0</v>
      </c>
      <c r="AA63" s="46">
        <v>0</v>
      </c>
      <c r="AB63" s="46">
        <v>0</v>
      </c>
    </row>
    <row r="64" spans="1:28">
      <c r="A64" s="39">
        <v>7</v>
      </c>
      <c r="B64" s="16">
        <v>10</v>
      </c>
      <c r="C64" s="28">
        <v>0</v>
      </c>
      <c r="D64" s="28">
        <v>2</v>
      </c>
      <c r="E64" s="28">
        <v>0</v>
      </c>
      <c r="F64" s="28">
        <v>0</v>
      </c>
      <c r="G64" s="28">
        <v>0</v>
      </c>
      <c r="H64" s="28">
        <v>1</v>
      </c>
      <c r="I64" s="28">
        <v>0</v>
      </c>
      <c r="J64" s="28">
        <v>0</v>
      </c>
      <c r="K64" s="28">
        <v>0</v>
      </c>
      <c r="L64" s="28">
        <v>1</v>
      </c>
      <c r="M64" s="28">
        <v>0</v>
      </c>
      <c r="N64" s="28">
        <v>0</v>
      </c>
      <c r="O64" s="28">
        <v>0</v>
      </c>
      <c r="P64" s="28">
        <v>1</v>
      </c>
      <c r="Q64" s="28">
        <v>0</v>
      </c>
      <c r="R64" s="28">
        <v>0</v>
      </c>
      <c r="S64" s="28">
        <v>0</v>
      </c>
      <c r="T64" s="28">
        <v>1</v>
      </c>
      <c r="U64" s="28">
        <v>0</v>
      </c>
      <c r="V64" s="28">
        <v>0</v>
      </c>
      <c r="W64" s="28">
        <v>0</v>
      </c>
      <c r="X64" s="28">
        <v>0</v>
      </c>
      <c r="Y64" s="46">
        <v>0</v>
      </c>
      <c r="Z64" s="46">
        <v>0</v>
      </c>
      <c r="AA64" s="46">
        <v>0</v>
      </c>
      <c r="AB64" s="46">
        <v>0</v>
      </c>
    </row>
    <row r="65" spans="1:28">
      <c r="A65" s="39">
        <v>7</v>
      </c>
      <c r="B65" s="16">
        <v>11</v>
      </c>
      <c r="C65" s="28">
        <v>0</v>
      </c>
      <c r="D65" s="28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K65" s="28">
        <v>0</v>
      </c>
      <c r="L65" s="28">
        <v>0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46">
        <v>0</v>
      </c>
      <c r="Z65" s="46">
        <v>0</v>
      </c>
      <c r="AA65" s="46">
        <v>0</v>
      </c>
      <c r="AB65" s="46">
        <v>0</v>
      </c>
    </row>
    <row r="66" spans="1:28">
      <c r="A66" s="40">
        <v>8</v>
      </c>
      <c r="B66" s="16">
        <v>1</v>
      </c>
      <c r="C66" s="28">
        <v>0</v>
      </c>
      <c r="D66" s="28">
        <v>1</v>
      </c>
      <c r="E66" s="28">
        <v>0</v>
      </c>
      <c r="F66" s="28">
        <v>0</v>
      </c>
      <c r="G66" s="28">
        <v>0</v>
      </c>
      <c r="H66" s="28">
        <v>1</v>
      </c>
      <c r="I66" s="28">
        <v>0</v>
      </c>
      <c r="J66" s="28">
        <v>0</v>
      </c>
      <c r="K66" s="28">
        <v>0</v>
      </c>
      <c r="L66" s="28">
        <v>1</v>
      </c>
      <c r="M66" s="28">
        <v>0</v>
      </c>
      <c r="N66" s="28">
        <v>0</v>
      </c>
      <c r="O66" s="28">
        <v>0</v>
      </c>
      <c r="P66" s="28">
        <v>1</v>
      </c>
      <c r="Q66" s="28">
        <v>0</v>
      </c>
      <c r="R66" s="28">
        <v>0</v>
      </c>
      <c r="S66" s="28">
        <v>0</v>
      </c>
      <c r="T66" s="28">
        <v>1</v>
      </c>
      <c r="U66" s="28">
        <v>0</v>
      </c>
      <c r="V66" s="28">
        <v>0</v>
      </c>
      <c r="W66" s="28">
        <v>0</v>
      </c>
      <c r="X66" s="28">
        <v>1</v>
      </c>
      <c r="Y66" s="46">
        <v>0</v>
      </c>
      <c r="Z66" s="46">
        <v>0</v>
      </c>
      <c r="AA66" s="46">
        <v>0</v>
      </c>
      <c r="AB66" s="46">
        <v>0</v>
      </c>
    </row>
    <row r="67" spans="1:28">
      <c r="A67" s="40">
        <v>8</v>
      </c>
      <c r="B67" s="16">
        <v>2</v>
      </c>
      <c r="C67" s="28">
        <v>2</v>
      </c>
      <c r="D67" s="28">
        <v>1</v>
      </c>
      <c r="E67" s="28">
        <v>0</v>
      </c>
      <c r="F67" s="28">
        <v>3</v>
      </c>
      <c r="G67" s="28">
        <v>2</v>
      </c>
      <c r="H67" s="28">
        <v>1</v>
      </c>
      <c r="I67" s="28">
        <v>0</v>
      </c>
      <c r="J67" s="28">
        <v>3</v>
      </c>
      <c r="K67" s="28">
        <v>2</v>
      </c>
      <c r="L67" s="28">
        <v>2</v>
      </c>
      <c r="M67" s="28">
        <v>0</v>
      </c>
      <c r="N67" s="28">
        <v>3</v>
      </c>
      <c r="O67" s="28">
        <v>2</v>
      </c>
      <c r="P67" s="28">
        <v>1</v>
      </c>
      <c r="Q67" s="28">
        <v>0</v>
      </c>
      <c r="R67" s="28">
        <v>3</v>
      </c>
      <c r="S67" s="28">
        <v>2</v>
      </c>
      <c r="T67" s="28">
        <v>1</v>
      </c>
      <c r="U67" s="28">
        <v>0</v>
      </c>
      <c r="V67" s="28">
        <v>3</v>
      </c>
      <c r="W67" s="28">
        <v>2</v>
      </c>
      <c r="X67" s="28">
        <v>1</v>
      </c>
      <c r="Y67" s="46">
        <v>0</v>
      </c>
      <c r="Z67" s="46">
        <v>0</v>
      </c>
      <c r="AA67" s="46">
        <v>0</v>
      </c>
      <c r="AB67" s="46">
        <v>0</v>
      </c>
    </row>
    <row r="68" spans="1:28">
      <c r="A68" s="40">
        <v>8</v>
      </c>
      <c r="B68" s="16">
        <v>3</v>
      </c>
      <c r="C68" s="28">
        <v>2</v>
      </c>
      <c r="D68" s="28">
        <v>4</v>
      </c>
      <c r="E68" s="28">
        <v>0</v>
      </c>
      <c r="F68" s="28">
        <v>3</v>
      </c>
      <c r="G68" s="28">
        <v>2</v>
      </c>
      <c r="H68" s="28">
        <v>4</v>
      </c>
      <c r="I68" s="28">
        <v>0</v>
      </c>
      <c r="J68" s="28">
        <v>2</v>
      </c>
      <c r="K68" s="28">
        <v>2</v>
      </c>
      <c r="L68" s="28">
        <v>4</v>
      </c>
      <c r="M68" s="28">
        <v>0</v>
      </c>
      <c r="N68" s="28">
        <v>3</v>
      </c>
      <c r="O68" s="28">
        <v>2</v>
      </c>
      <c r="P68" s="28">
        <v>4</v>
      </c>
      <c r="Q68" s="28">
        <v>0</v>
      </c>
      <c r="R68" s="28">
        <v>3</v>
      </c>
      <c r="S68" s="28">
        <v>2</v>
      </c>
      <c r="T68" s="28">
        <v>4</v>
      </c>
      <c r="U68" s="28">
        <v>0</v>
      </c>
      <c r="V68" s="28">
        <v>3</v>
      </c>
      <c r="W68" s="28">
        <v>2</v>
      </c>
      <c r="X68" s="28">
        <v>3</v>
      </c>
      <c r="Y68" s="46">
        <v>0</v>
      </c>
      <c r="Z68" s="46">
        <v>0</v>
      </c>
      <c r="AA68" s="46">
        <v>0</v>
      </c>
      <c r="AB68" s="46">
        <v>0</v>
      </c>
    </row>
    <row r="69" spans="1:28">
      <c r="A69" s="40">
        <v>8</v>
      </c>
      <c r="B69" s="16">
        <v>4</v>
      </c>
      <c r="C69" s="28">
        <v>0</v>
      </c>
      <c r="D69" s="28">
        <v>1</v>
      </c>
      <c r="E69" s="28">
        <v>0</v>
      </c>
      <c r="F69" s="28">
        <v>1</v>
      </c>
      <c r="G69" s="28">
        <v>0</v>
      </c>
      <c r="H69" s="28">
        <v>1</v>
      </c>
      <c r="I69" s="28">
        <v>0</v>
      </c>
      <c r="J69" s="28">
        <v>1</v>
      </c>
      <c r="K69" s="28">
        <v>0</v>
      </c>
      <c r="L69" s="28">
        <v>1</v>
      </c>
      <c r="M69" s="28">
        <v>0</v>
      </c>
      <c r="N69" s="28">
        <v>1</v>
      </c>
      <c r="O69" s="28">
        <v>0</v>
      </c>
      <c r="P69" s="28">
        <v>1</v>
      </c>
      <c r="Q69" s="28">
        <v>0</v>
      </c>
      <c r="R69" s="28">
        <v>1</v>
      </c>
      <c r="S69" s="28">
        <v>0</v>
      </c>
      <c r="T69" s="28">
        <v>1</v>
      </c>
      <c r="U69" s="28">
        <v>0</v>
      </c>
      <c r="V69" s="28">
        <v>1</v>
      </c>
      <c r="W69" s="28">
        <v>0</v>
      </c>
      <c r="X69" s="28">
        <v>1</v>
      </c>
      <c r="Y69" s="46">
        <v>0</v>
      </c>
      <c r="Z69" s="46">
        <v>0</v>
      </c>
      <c r="AA69" s="46">
        <v>0</v>
      </c>
      <c r="AB69" s="46">
        <v>0</v>
      </c>
    </row>
    <row r="70" spans="1:28">
      <c r="A70" s="40">
        <v>8</v>
      </c>
      <c r="B70" s="16">
        <v>5</v>
      </c>
      <c r="C70" s="28">
        <v>5</v>
      </c>
      <c r="D70" s="28">
        <v>7</v>
      </c>
      <c r="E70" s="28">
        <v>1</v>
      </c>
      <c r="F70" s="28">
        <v>0</v>
      </c>
      <c r="G70" s="28">
        <v>5</v>
      </c>
      <c r="H70" s="28">
        <v>6</v>
      </c>
      <c r="I70" s="28">
        <v>1</v>
      </c>
      <c r="J70" s="28">
        <v>0</v>
      </c>
      <c r="K70" s="28">
        <v>5</v>
      </c>
      <c r="L70" s="28">
        <v>7</v>
      </c>
      <c r="M70" s="28">
        <v>1</v>
      </c>
      <c r="N70" s="28">
        <v>0</v>
      </c>
      <c r="O70" s="28">
        <v>5</v>
      </c>
      <c r="P70" s="28">
        <v>7</v>
      </c>
      <c r="Q70" s="28">
        <v>1</v>
      </c>
      <c r="R70" s="28">
        <v>0</v>
      </c>
      <c r="S70" s="28">
        <v>5</v>
      </c>
      <c r="T70" s="28">
        <v>7</v>
      </c>
      <c r="U70" s="28">
        <v>1</v>
      </c>
      <c r="V70" s="28">
        <v>0</v>
      </c>
      <c r="W70" s="28">
        <v>5</v>
      </c>
      <c r="X70" s="28">
        <v>6</v>
      </c>
      <c r="Y70" s="46">
        <v>0</v>
      </c>
      <c r="Z70" s="46">
        <v>0</v>
      </c>
      <c r="AA70" s="46">
        <v>0</v>
      </c>
      <c r="AB70" s="46">
        <v>0</v>
      </c>
    </row>
    <row r="71" spans="1:28">
      <c r="A71" s="40">
        <v>8</v>
      </c>
      <c r="B71" s="16">
        <v>6</v>
      </c>
      <c r="C71" s="28">
        <v>7</v>
      </c>
      <c r="D71" s="28">
        <v>6</v>
      </c>
      <c r="E71" s="28">
        <v>0</v>
      </c>
      <c r="F71" s="28">
        <v>2</v>
      </c>
      <c r="G71" s="28">
        <v>7</v>
      </c>
      <c r="H71" s="28">
        <v>6</v>
      </c>
      <c r="I71" s="28">
        <v>0</v>
      </c>
      <c r="J71" s="28">
        <v>4</v>
      </c>
      <c r="K71" s="28">
        <v>7</v>
      </c>
      <c r="L71" s="28">
        <v>5</v>
      </c>
      <c r="M71" s="28">
        <v>0</v>
      </c>
      <c r="N71" s="28">
        <v>4</v>
      </c>
      <c r="O71" s="28">
        <v>7</v>
      </c>
      <c r="P71" s="28">
        <v>6</v>
      </c>
      <c r="Q71" s="28">
        <v>0</v>
      </c>
      <c r="R71" s="28">
        <v>4</v>
      </c>
      <c r="S71" s="28">
        <v>7</v>
      </c>
      <c r="T71" s="28">
        <v>6</v>
      </c>
      <c r="U71" s="28">
        <v>0</v>
      </c>
      <c r="V71" s="28">
        <v>4</v>
      </c>
      <c r="W71" s="28">
        <v>7</v>
      </c>
      <c r="X71" s="28">
        <v>6</v>
      </c>
      <c r="Y71" s="46">
        <v>0</v>
      </c>
      <c r="Z71" s="46">
        <v>0</v>
      </c>
      <c r="AA71" s="46">
        <v>0</v>
      </c>
      <c r="AB71" s="46">
        <v>0</v>
      </c>
    </row>
    <row r="72" spans="1:28">
      <c r="A72" s="40">
        <v>8</v>
      </c>
      <c r="B72" s="16">
        <v>7</v>
      </c>
      <c r="C72" s="28">
        <v>3</v>
      </c>
      <c r="D72" s="28">
        <v>1</v>
      </c>
      <c r="E72" s="28">
        <v>0</v>
      </c>
      <c r="F72" s="28">
        <v>0</v>
      </c>
      <c r="G72" s="28">
        <v>3</v>
      </c>
      <c r="H72" s="28">
        <v>1</v>
      </c>
      <c r="I72" s="28">
        <v>0</v>
      </c>
      <c r="J72" s="28">
        <v>0</v>
      </c>
      <c r="K72" s="28">
        <v>3</v>
      </c>
      <c r="L72" s="28">
        <v>1</v>
      </c>
      <c r="M72" s="28">
        <v>0</v>
      </c>
      <c r="N72" s="28">
        <v>0</v>
      </c>
      <c r="O72" s="28">
        <v>3</v>
      </c>
      <c r="P72" s="28">
        <v>1</v>
      </c>
      <c r="Q72" s="28">
        <v>0</v>
      </c>
      <c r="R72" s="28">
        <v>0</v>
      </c>
      <c r="S72" s="28">
        <v>3</v>
      </c>
      <c r="T72" s="28">
        <v>1</v>
      </c>
      <c r="U72" s="28">
        <v>0</v>
      </c>
      <c r="V72" s="28">
        <v>0</v>
      </c>
      <c r="W72" s="28">
        <v>0</v>
      </c>
      <c r="X72" s="28">
        <v>0</v>
      </c>
      <c r="Y72" s="46">
        <v>0</v>
      </c>
      <c r="Z72" s="46">
        <v>0</v>
      </c>
      <c r="AA72" s="46">
        <v>0</v>
      </c>
      <c r="AB72" s="46">
        <v>0</v>
      </c>
    </row>
    <row r="73" spans="1:28">
      <c r="A73" s="40">
        <v>8</v>
      </c>
      <c r="B73" s="16">
        <v>8</v>
      </c>
      <c r="C73" s="28">
        <v>0</v>
      </c>
      <c r="D73" s="28">
        <v>1</v>
      </c>
      <c r="E73" s="28">
        <v>1</v>
      </c>
      <c r="F73" s="28">
        <v>0</v>
      </c>
      <c r="G73" s="28">
        <v>0</v>
      </c>
      <c r="H73" s="28">
        <v>1</v>
      </c>
      <c r="I73" s="28">
        <v>0</v>
      </c>
      <c r="J73" s="28">
        <v>1</v>
      </c>
      <c r="K73" s="28">
        <v>0</v>
      </c>
      <c r="L73" s="28">
        <v>0</v>
      </c>
      <c r="M73" s="28">
        <v>0</v>
      </c>
      <c r="N73" s="28">
        <v>1</v>
      </c>
      <c r="O73" s="28">
        <v>0</v>
      </c>
      <c r="P73" s="28">
        <v>1</v>
      </c>
      <c r="Q73" s="28">
        <v>1</v>
      </c>
      <c r="R73" s="28">
        <v>0</v>
      </c>
      <c r="S73" s="28">
        <v>1</v>
      </c>
      <c r="T73" s="28">
        <v>0</v>
      </c>
      <c r="U73" s="28">
        <v>0</v>
      </c>
      <c r="V73" s="28">
        <v>0</v>
      </c>
      <c r="W73" s="28">
        <v>1</v>
      </c>
      <c r="X73" s="28">
        <v>0</v>
      </c>
      <c r="Y73" s="46">
        <v>0</v>
      </c>
      <c r="Z73" s="46"/>
      <c r="AA73" s="46"/>
      <c r="AB73" s="46"/>
    </row>
    <row r="74" spans="1:28" ht="22.2" customHeight="1">
      <c r="A74" s="41">
        <v>9</v>
      </c>
      <c r="B74" s="16">
        <v>1</v>
      </c>
      <c r="C74" s="28">
        <v>1</v>
      </c>
      <c r="D74" s="28">
        <v>1</v>
      </c>
      <c r="E74" s="28">
        <v>0</v>
      </c>
      <c r="F74" s="28">
        <v>0</v>
      </c>
      <c r="G74" s="28">
        <v>1</v>
      </c>
      <c r="H74" s="28">
        <v>1</v>
      </c>
      <c r="I74" s="28">
        <v>0</v>
      </c>
      <c r="J74" s="28">
        <v>0</v>
      </c>
      <c r="K74" s="28">
        <v>1</v>
      </c>
      <c r="L74" s="28">
        <v>1</v>
      </c>
      <c r="M74" s="28">
        <v>0</v>
      </c>
      <c r="N74" s="28">
        <v>0</v>
      </c>
      <c r="O74" s="28">
        <v>1</v>
      </c>
      <c r="P74" s="28">
        <v>1</v>
      </c>
      <c r="Q74" s="28">
        <v>0</v>
      </c>
      <c r="R74" s="28">
        <v>0</v>
      </c>
      <c r="S74" s="28">
        <v>1</v>
      </c>
      <c r="T74" s="28">
        <v>1</v>
      </c>
      <c r="U74" s="28">
        <v>0</v>
      </c>
      <c r="V74" s="28">
        <v>0</v>
      </c>
      <c r="W74" s="28">
        <v>0</v>
      </c>
      <c r="X74" s="28">
        <v>1</v>
      </c>
      <c r="Y74" s="46">
        <v>0</v>
      </c>
      <c r="Z74" s="46">
        <v>0</v>
      </c>
      <c r="AA74" s="46">
        <v>0</v>
      </c>
      <c r="AB74" s="46">
        <v>0</v>
      </c>
    </row>
    <row r="75" spans="1:28" ht="22.2" customHeight="1">
      <c r="A75" s="41">
        <v>9</v>
      </c>
      <c r="B75" s="16">
        <v>2</v>
      </c>
      <c r="C75" s="28">
        <v>0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46">
        <v>0</v>
      </c>
      <c r="Z75" s="46">
        <v>0</v>
      </c>
      <c r="AA75" s="46">
        <v>0</v>
      </c>
      <c r="AB75" s="46">
        <v>0</v>
      </c>
    </row>
    <row r="76" spans="1:28" ht="22.2" customHeight="1">
      <c r="A76" s="41">
        <v>9</v>
      </c>
      <c r="B76" s="16">
        <v>3</v>
      </c>
      <c r="C76" s="28">
        <v>1</v>
      </c>
      <c r="D76" s="28">
        <v>0</v>
      </c>
      <c r="E76" s="28">
        <v>0</v>
      </c>
      <c r="F76" s="28">
        <v>0</v>
      </c>
      <c r="G76" s="28">
        <v>1</v>
      </c>
      <c r="H76" s="28">
        <v>0</v>
      </c>
      <c r="I76" s="28">
        <v>0</v>
      </c>
      <c r="J76" s="28">
        <v>0</v>
      </c>
      <c r="K76" s="28">
        <v>1</v>
      </c>
      <c r="L76" s="28">
        <v>0</v>
      </c>
      <c r="M76" s="28">
        <v>0</v>
      </c>
      <c r="N76" s="28">
        <v>0</v>
      </c>
      <c r="O76" s="28">
        <v>1</v>
      </c>
      <c r="P76" s="28">
        <v>0</v>
      </c>
      <c r="Q76" s="28">
        <v>0</v>
      </c>
      <c r="R76" s="28">
        <v>0</v>
      </c>
      <c r="S76" s="28">
        <v>1</v>
      </c>
      <c r="T76" s="28">
        <v>0</v>
      </c>
      <c r="U76" s="28">
        <v>0</v>
      </c>
      <c r="V76" s="28">
        <v>0</v>
      </c>
      <c r="W76" s="28">
        <v>1</v>
      </c>
      <c r="X76" s="28">
        <v>0</v>
      </c>
      <c r="Y76" s="46">
        <v>0</v>
      </c>
      <c r="Z76" s="46">
        <v>0</v>
      </c>
      <c r="AA76" s="46">
        <v>0</v>
      </c>
      <c r="AB76" s="46">
        <v>0</v>
      </c>
    </row>
    <row r="77" spans="1:28" ht="22.2" customHeight="1">
      <c r="A77" s="41">
        <v>9</v>
      </c>
      <c r="B77" s="16">
        <v>4</v>
      </c>
      <c r="C77" s="28">
        <v>1</v>
      </c>
      <c r="D77" s="28">
        <v>0</v>
      </c>
      <c r="E77" s="28">
        <v>0</v>
      </c>
      <c r="F77" s="28">
        <v>0</v>
      </c>
      <c r="G77" s="28">
        <v>1</v>
      </c>
      <c r="H77" s="28">
        <v>0</v>
      </c>
      <c r="I77" s="28">
        <v>0</v>
      </c>
      <c r="J77" s="28">
        <v>0</v>
      </c>
      <c r="K77" s="28">
        <v>1</v>
      </c>
      <c r="L77" s="28">
        <v>0</v>
      </c>
      <c r="M77" s="28">
        <v>0</v>
      </c>
      <c r="N77" s="28">
        <v>0</v>
      </c>
      <c r="O77" s="28">
        <v>1</v>
      </c>
      <c r="P77" s="28">
        <v>0</v>
      </c>
      <c r="Q77" s="28">
        <v>0</v>
      </c>
      <c r="R77" s="28">
        <v>0</v>
      </c>
      <c r="S77" s="28">
        <v>1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46">
        <v>0</v>
      </c>
      <c r="Z77" s="46">
        <v>0</v>
      </c>
      <c r="AA77" s="46">
        <v>0</v>
      </c>
      <c r="AB77" s="46">
        <v>0</v>
      </c>
    </row>
    <row r="78" spans="1:28" ht="22.2" customHeight="1">
      <c r="A78" s="41">
        <v>9</v>
      </c>
      <c r="B78" s="16">
        <v>5</v>
      </c>
      <c r="C78" s="28">
        <v>1</v>
      </c>
      <c r="D78" s="28">
        <v>0</v>
      </c>
      <c r="E78" s="28">
        <v>0</v>
      </c>
      <c r="F78" s="28">
        <v>1</v>
      </c>
      <c r="G78" s="28">
        <v>1</v>
      </c>
      <c r="H78" s="28">
        <v>0</v>
      </c>
      <c r="I78" s="28">
        <v>0</v>
      </c>
      <c r="J78" s="28">
        <v>1</v>
      </c>
      <c r="K78" s="28">
        <v>1</v>
      </c>
      <c r="L78" s="28">
        <v>0</v>
      </c>
      <c r="M78" s="28">
        <v>0</v>
      </c>
      <c r="N78" s="28">
        <v>1</v>
      </c>
      <c r="O78" s="28">
        <v>1</v>
      </c>
      <c r="P78" s="28">
        <v>0</v>
      </c>
      <c r="Q78" s="28">
        <v>0</v>
      </c>
      <c r="R78" s="28">
        <v>1</v>
      </c>
      <c r="S78" s="28">
        <v>1</v>
      </c>
      <c r="T78" s="28">
        <v>0</v>
      </c>
      <c r="U78" s="28">
        <v>0</v>
      </c>
      <c r="V78" s="28">
        <v>1</v>
      </c>
      <c r="W78" s="28">
        <v>0</v>
      </c>
      <c r="X78" s="28">
        <v>0</v>
      </c>
      <c r="Y78" s="46">
        <v>0</v>
      </c>
      <c r="Z78" s="46">
        <v>0</v>
      </c>
      <c r="AA78" s="46">
        <v>0</v>
      </c>
      <c r="AB78" s="46">
        <v>0</v>
      </c>
    </row>
    <row r="79" spans="1:28" ht="22.2" customHeight="1">
      <c r="A79" s="41">
        <v>9</v>
      </c>
      <c r="B79" s="16">
        <v>6</v>
      </c>
      <c r="C79" s="28">
        <v>0</v>
      </c>
      <c r="D79" s="28">
        <v>0</v>
      </c>
      <c r="E79" s="28">
        <v>0</v>
      </c>
      <c r="F79" s="28">
        <v>0</v>
      </c>
      <c r="G79" s="28">
        <v>0</v>
      </c>
      <c r="H79" s="28">
        <v>0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28">
        <v>0</v>
      </c>
      <c r="V79" s="28">
        <v>0</v>
      </c>
      <c r="W79" s="28">
        <v>0</v>
      </c>
      <c r="X79" s="28">
        <v>0</v>
      </c>
      <c r="Y79" s="46">
        <v>0</v>
      </c>
      <c r="Z79" s="46">
        <v>0</v>
      </c>
      <c r="AA79" s="46">
        <v>0</v>
      </c>
      <c r="AB79" s="46">
        <v>0</v>
      </c>
    </row>
    <row r="80" spans="1:28" ht="22.2" customHeight="1">
      <c r="A80" s="41">
        <v>9</v>
      </c>
      <c r="B80" s="16">
        <v>7</v>
      </c>
      <c r="C80" s="28">
        <v>1</v>
      </c>
      <c r="D80" s="28">
        <v>2</v>
      </c>
      <c r="E80" s="28">
        <v>0</v>
      </c>
      <c r="F80" s="28">
        <v>2</v>
      </c>
      <c r="G80" s="28">
        <v>1</v>
      </c>
      <c r="H80" s="28">
        <v>2</v>
      </c>
      <c r="I80" s="28">
        <v>0</v>
      </c>
      <c r="J80" s="28">
        <v>2</v>
      </c>
      <c r="K80" s="28">
        <v>1</v>
      </c>
      <c r="L80" s="28">
        <v>2</v>
      </c>
      <c r="M80" s="28">
        <v>0</v>
      </c>
      <c r="N80" s="28">
        <v>2</v>
      </c>
      <c r="O80" s="28">
        <v>1</v>
      </c>
      <c r="P80" s="28">
        <v>2</v>
      </c>
      <c r="Q80" s="28">
        <v>0</v>
      </c>
      <c r="R80" s="28">
        <v>2</v>
      </c>
      <c r="S80" s="28">
        <v>1</v>
      </c>
      <c r="T80" s="28">
        <v>2</v>
      </c>
      <c r="U80" s="28">
        <v>0</v>
      </c>
      <c r="V80" s="28">
        <v>2</v>
      </c>
      <c r="W80" s="28">
        <v>0</v>
      </c>
      <c r="X80" s="28">
        <v>1</v>
      </c>
      <c r="Y80" s="46">
        <v>0</v>
      </c>
      <c r="Z80" s="46">
        <v>0</v>
      </c>
      <c r="AA80" s="46">
        <v>0</v>
      </c>
      <c r="AB80" s="46">
        <v>0</v>
      </c>
    </row>
    <row r="81" spans="1:28" ht="22.2" customHeight="1">
      <c r="A81" s="41">
        <v>9</v>
      </c>
      <c r="B81" s="16">
        <v>8</v>
      </c>
      <c r="C81" s="28">
        <v>3</v>
      </c>
      <c r="D81" s="28">
        <v>0</v>
      </c>
      <c r="E81" s="28">
        <v>0</v>
      </c>
      <c r="F81" s="28">
        <v>2</v>
      </c>
      <c r="G81" s="28">
        <v>3</v>
      </c>
      <c r="H81" s="28">
        <v>0</v>
      </c>
      <c r="I81" s="28">
        <v>0</v>
      </c>
      <c r="J81" s="28">
        <v>2</v>
      </c>
      <c r="K81" s="28">
        <v>3</v>
      </c>
      <c r="L81" s="28">
        <v>0</v>
      </c>
      <c r="M81" s="28">
        <v>0</v>
      </c>
      <c r="N81" s="28">
        <v>2</v>
      </c>
      <c r="O81" s="28">
        <v>3</v>
      </c>
      <c r="P81" s="28">
        <v>0</v>
      </c>
      <c r="Q81" s="28">
        <v>0</v>
      </c>
      <c r="R81" s="28">
        <v>2</v>
      </c>
      <c r="S81" s="28">
        <v>3</v>
      </c>
      <c r="T81" s="28">
        <v>0</v>
      </c>
      <c r="U81" s="28">
        <v>0</v>
      </c>
      <c r="V81" s="28">
        <v>2</v>
      </c>
      <c r="W81" s="28">
        <v>1</v>
      </c>
      <c r="X81" s="28">
        <v>0</v>
      </c>
      <c r="Y81" s="46">
        <v>0</v>
      </c>
      <c r="Z81" s="46">
        <v>0</v>
      </c>
      <c r="AA81" s="46">
        <v>0</v>
      </c>
      <c r="AB81" s="46">
        <v>0</v>
      </c>
    </row>
    <row r="82" spans="1:28" ht="22.2" customHeight="1">
      <c r="A82" s="41">
        <v>9</v>
      </c>
      <c r="B82" s="16">
        <v>9</v>
      </c>
      <c r="C82" s="28">
        <v>9</v>
      </c>
      <c r="D82" s="28">
        <v>5</v>
      </c>
      <c r="E82" s="28">
        <v>0</v>
      </c>
      <c r="F82" s="28">
        <v>1</v>
      </c>
      <c r="G82" s="28">
        <v>10</v>
      </c>
      <c r="H82" s="28">
        <v>5</v>
      </c>
      <c r="I82" s="28">
        <v>0</v>
      </c>
      <c r="J82" s="28">
        <v>1</v>
      </c>
      <c r="K82" s="28">
        <v>9</v>
      </c>
      <c r="L82" s="28">
        <v>5</v>
      </c>
      <c r="M82" s="28">
        <v>0</v>
      </c>
      <c r="N82" s="28">
        <v>1</v>
      </c>
      <c r="O82" s="28">
        <v>10</v>
      </c>
      <c r="P82" s="28">
        <v>5</v>
      </c>
      <c r="Q82" s="28">
        <v>0</v>
      </c>
      <c r="R82" s="28">
        <v>1</v>
      </c>
      <c r="S82" s="28">
        <v>10</v>
      </c>
      <c r="T82" s="28">
        <v>5</v>
      </c>
      <c r="U82" s="28">
        <v>0</v>
      </c>
      <c r="V82" s="28">
        <v>1</v>
      </c>
      <c r="W82" s="28">
        <v>7</v>
      </c>
      <c r="X82" s="28">
        <v>4</v>
      </c>
      <c r="Y82" s="46">
        <v>0</v>
      </c>
      <c r="Z82" s="46">
        <v>0</v>
      </c>
      <c r="AA82" s="46">
        <v>0</v>
      </c>
      <c r="AB82" s="46">
        <v>0</v>
      </c>
    </row>
    <row r="83" spans="1:28" ht="22.2" customHeight="1">
      <c r="A83" s="41">
        <v>9</v>
      </c>
      <c r="B83" s="16">
        <v>10</v>
      </c>
      <c r="C83" s="28">
        <v>7</v>
      </c>
      <c r="D83" s="28">
        <v>1</v>
      </c>
      <c r="E83" s="28">
        <v>0</v>
      </c>
      <c r="F83" s="28">
        <v>3</v>
      </c>
      <c r="G83" s="28">
        <v>7</v>
      </c>
      <c r="H83" s="28">
        <v>1</v>
      </c>
      <c r="I83" s="28">
        <v>0</v>
      </c>
      <c r="J83" s="28">
        <v>3</v>
      </c>
      <c r="K83" s="28">
        <v>7</v>
      </c>
      <c r="L83" s="28">
        <v>1</v>
      </c>
      <c r="M83" s="28">
        <v>0</v>
      </c>
      <c r="N83" s="28">
        <v>3</v>
      </c>
      <c r="O83" s="28">
        <v>7</v>
      </c>
      <c r="P83" s="28">
        <v>1</v>
      </c>
      <c r="Q83" s="28">
        <v>0</v>
      </c>
      <c r="R83" s="28">
        <v>3</v>
      </c>
      <c r="S83" s="28">
        <v>7</v>
      </c>
      <c r="T83" s="28">
        <v>1</v>
      </c>
      <c r="U83" s="28">
        <v>0</v>
      </c>
      <c r="V83" s="28">
        <v>3</v>
      </c>
      <c r="W83" s="28">
        <v>3</v>
      </c>
      <c r="X83" s="28">
        <v>1</v>
      </c>
      <c r="Y83" s="46">
        <v>0</v>
      </c>
      <c r="Z83" s="46">
        <v>0</v>
      </c>
      <c r="AA83" s="46">
        <v>0</v>
      </c>
      <c r="AB83" s="46">
        <v>0</v>
      </c>
    </row>
    <row r="84" spans="1:28" ht="22.2" customHeight="1">
      <c r="A84" s="43">
        <v>10</v>
      </c>
      <c r="B84" s="16">
        <v>1</v>
      </c>
      <c r="C84" s="28">
        <v>2</v>
      </c>
      <c r="D84" s="28">
        <v>1</v>
      </c>
      <c r="E84" s="28">
        <v>0</v>
      </c>
      <c r="F84" s="28">
        <v>2</v>
      </c>
      <c r="G84" s="28">
        <v>2</v>
      </c>
      <c r="H84" s="28">
        <v>1</v>
      </c>
      <c r="I84" s="28">
        <v>0</v>
      </c>
      <c r="J84" s="28">
        <v>2</v>
      </c>
      <c r="K84" s="28">
        <v>2</v>
      </c>
      <c r="L84" s="28">
        <v>1</v>
      </c>
      <c r="M84" s="28">
        <v>0</v>
      </c>
      <c r="N84" s="28">
        <v>2</v>
      </c>
      <c r="O84" s="28">
        <v>2</v>
      </c>
      <c r="P84" s="28">
        <v>1</v>
      </c>
      <c r="Q84" s="28">
        <v>0</v>
      </c>
      <c r="R84" s="28">
        <v>2</v>
      </c>
      <c r="S84" s="28">
        <v>2</v>
      </c>
      <c r="T84" s="28">
        <v>1</v>
      </c>
      <c r="U84" s="28">
        <v>0</v>
      </c>
      <c r="V84" s="28">
        <v>2</v>
      </c>
      <c r="W84" s="28">
        <v>2</v>
      </c>
      <c r="X84" s="28">
        <v>1</v>
      </c>
      <c r="Y84" s="46">
        <v>0</v>
      </c>
      <c r="Z84" s="46">
        <v>0</v>
      </c>
      <c r="AA84" s="46">
        <v>0</v>
      </c>
      <c r="AB84" s="46">
        <v>0</v>
      </c>
    </row>
    <row r="85" spans="1:28" ht="22.2" customHeight="1">
      <c r="A85" s="43">
        <v>10</v>
      </c>
      <c r="B85" s="16">
        <v>2</v>
      </c>
      <c r="C85" s="28">
        <v>2</v>
      </c>
      <c r="D85" s="28">
        <v>0</v>
      </c>
      <c r="E85" s="28">
        <v>0</v>
      </c>
      <c r="F85" s="28">
        <v>0</v>
      </c>
      <c r="G85" s="28">
        <v>2</v>
      </c>
      <c r="H85" s="28">
        <v>0</v>
      </c>
      <c r="I85" s="28">
        <v>0</v>
      </c>
      <c r="J85" s="28">
        <v>0</v>
      </c>
      <c r="K85" s="28">
        <v>2</v>
      </c>
      <c r="L85" s="28">
        <v>0</v>
      </c>
      <c r="M85" s="28">
        <v>0</v>
      </c>
      <c r="N85" s="28">
        <v>0</v>
      </c>
      <c r="O85" s="28">
        <v>2</v>
      </c>
      <c r="P85" s="28">
        <v>0</v>
      </c>
      <c r="Q85" s="28">
        <v>0</v>
      </c>
      <c r="R85" s="28">
        <v>0</v>
      </c>
      <c r="S85" s="28">
        <v>2</v>
      </c>
      <c r="T85" s="28">
        <v>0</v>
      </c>
      <c r="U85" s="28">
        <v>0</v>
      </c>
      <c r="V85" s="28">
        <v>0</v>
      </c>
      <c r="W85" s="28">
        <v>2</v>
      </c>
      <c r="X85" s="28">
        <v>2</v>
      </c>
      <c r="Y85" s="46">
        <v>0</v>
      </c>
      <c r="Z85" s="46">
        <v>0</v>
      </c>
      <c r="AA85" s="46">
        <v>0</v>
      </c>
      <c r="AB85" s="46">
        <v>0</v>
      </c>
    </row>
    <row r="86" spans="1:28" ht="22.2" customHeight="1">
      <c r="A86" s="43">
        <v>10</v>
      </c>
      <c r="B86" s="16">
        <v>3</v>
      </c>
      <c r="C86" s="28">
        <v>2</v>
      </c>
      <c r="D86" s="28">
        <v>2</v>
      </c>
      <c r="E86" s="28">
        <v>0</v>
      </c>
      <c r="F86" s="28">
        <v>0</v>
      </c>
      <c r="G86" s="28">
        <v>2</v>
      </c>
      <c r="H86" s="28">
        <v>2</v>
      </c>
      <c r="I86" s="28">
        <v>0</v>
      </c>
      <c r="J86" s="28">
        <v>0</v>
      </c>
      <c r="K86" s="28">
        <v>2</v>
      </c>
      <c r="L86" s="28">
        <v>2</v>
      </c>
      <c r="M86" s="28">
        <v>0</v>
      </c>
      <c r="N86" s="28">
        <v>0</v>
      </c>
      <c r="O86" s="28">
        <v>2</v>
      </c>
      <c r="P86" s="28">
        <v>2</v>
      </c>
      <c r="Q86" s="28">
        <v>0</v>
      </c>
      <c r="R86" s="28">
        <v>0</v>
      </c>
      <c r="S86" s="28">
        <v>2</v>
      </c>
      <c r="T86" s="28">
        <v>2</v>
      </c>
      <c r="U86" s="28">
        <v>0</v>
      </c>
      <c r="V86" s="28">
        <v>0</v>
      </c>
      <c r="W86" s="28">
        <v>2</v>
      </c>
      <c r="X86" s="28">
        <v>1</v>
      </c>
      <c r="Y86" s="46">
        <v>0</v>
      </c>
      <c r="Z86" s="46">
        <v>0</v>
      </c>
      <c r="AA86" s="46">
        <v>0</v>
      </c>
      <c r="AB86" s="46">
        <v>0</v>
      </c>
    </row>
    <row r="87" spans="1:28" ht="22.2" customHeight="1">
      <c r="A87" s="43">
        <v>10</v>
      </c>
      <c r="B87" s="16">
        <v>4</v>
      </c>
      <c r="C87" s="28">
        <v>0</v>
      </c>
      <c r="D87" s="28">
        <v>1</v>
      </c>
      <c r="E87" s="28">
        <v>0</v>
      </c>
      <c r="F87" s="28">
        <v>1</v>
      </c>
      <c r="G87" s="28">
        <v>0</v>
      </c>
      <c r="H87" s="28">
        <v>1</v>
      </c>
      <c r="I87" s="28">
        <v>0</v>
      </c>
      <c r="J87" s="28">
        <v>1</v>
      </c>
      <c r="K87" s="28">
        <v>0</v>
      </c>
      <c r="L87" s="28">
        <v>1</v>
      </c>
      <c r="M87" s="28">
        <v>0</v>
      </c>
      <c r="N87" s="28">
        <v>1</v>
      </c>
      <c r="O87" s="28">
        <v>0</v>
      </c>
      <c r="P87" s="28">
        <v>1</v>
      </c>
      <c r="Q87" s="28">
        <v>0</v>
      </c>
      <c r="R87" s="28">
        <v>1</v>
      </c>
      <c r="S87" s="28">
        <v>0</v>
      </c>
      <c r="T87" s="28">
        <v>1</v>
      </c>
      <c r="U87" s="28">
        <v>0</v>
      </c>
      <c r="V87" s="28">
        <v>1</v>
      </c>
      <c r="W87" s="28">
        <v>2</v>
      </c>
      <c r="X87" s="28">
        <v>0</v>
      </c>
      <c r="Y87" s="46">
        <v>0</v>
      </c>
      <c r="Z87" s="46">
        <v>0</v>
      </c>
      <c r="AA87" s="46">
        <v>0</v>
      </c>
      <c r="AB87" s="46">
        <v>0</v>
      </c>
    </row>
    <row r="88" spans="1:28" ht="22.2" customHeight="1">
      <c r="A88" s="43">
        <v>10</v>
      </c>
      <c r="B88" s="16">
        <v>5</v>
      </c>
      <c r="C88" s="28">
        <v>2</v>
      </c>
      <c r="D88" s="28">
        <v>0</v>
      </c>
      <c r="E88" s="28">
        <v>0</v>
      </c>
      <c r="F88" s="28">
        <v>1</v>
      </c>
      <c r="G88" s="28">
        <v>4</v>
      </c>
      <c r="H88" s="28">
        <v>0</v>
      </c>
      <c r="I88" s="28">
        <v>0</v>
      </c>
      <c r="J88" s="28">
        <v>1</v>
      </c>
      <c r="K88" s="28">
        <v>1</v>
      </c>
      <c r="L88" s="28">
        <v>0</v>
      </c>
      <c r="M88" s="28">
        <v>0</v>
      </c>
      <c r="N88" s="28">
        <v>1</v>
      </c>
      <c r="O88" s="28">
        <v>3</v>
      </c>
      <c r="P88" s="28">
        <v>0</v>
      </c>
      <c r="Q88" s="28">
        <v>0</v>
      </c>
      <c r="R88" s="28">
        <v>1</v>
      </c>
      <c r="S88" s="28">
        <v>3</v>
      </c>
      <c r="T88" s="28">
        <v>0</v>
      </c>
      <c r="U88" s="28">
        <v>0</v>
      </c>
      <c r="V88" s="28">
        <v>1</v>
      </c>
      <c r="W88" s="28">
        <v>0</v>
      </c>
      <c r="X88" s="28">
        <v>4</v>
      </c>
      <c r="Y88" s="46">
        <v>0</v>
      </c>
      <c r="Z88" s="46">
        <v>0</v>
      </c>
      <c r="AA88" s="46">
        <v>0</v>
      </c>
      <c r="AB88" s="46">
        <v>0</v>
      </c>
    </row>
    <row r="89" spans="1:28" ht="22.2" customHeight="1">
      <c r="A89" s="43">
        <v>10</v>
      </c>
      <c r="B89" s="16">
        <v>6</v>
      </c>
      <c r="C89" s="28">
        <v>0</v>
      </c>
      <c r="D89" s="28">
        <v>0</v>
      </c>
      <c r="E89" s="28">
        <v>0</v>
      </c>
      <c r="F89" s="28">
        <v>0</v>
      </c>
      <c r="G89" s="28">
        <v>0</v>
      </c>
      <c r="H89" s="28">
        <v>0</v>
      </c>
      <c r="I89" s="28">
        <v>0</v>
      </c>
      <c r="J89" s="28">
        <v>0</v>
      </c>
      <c r="K89" s="28">
        <v>0</v>
      </c>
      <c r="L89" s="28">
        <v>0</v>
      </c>
      <c r="M89" s="28">
        <v>0</v>
      </c>
      <c r="N89" s="28">
        <v>0</v>
      </c>
      <c r="O89" s="28">
        <v>0</v>
      </c>
      <c r="P89" s="28">
        <v>0</v>
      </c>
      <c r="Q89" s="28">
        <v>0</v>
      </c>
      <c r="R89" s="28">
        <v>0</v>
      </c>
      <c r="S89" s="28">
        <v>0</v>
      </c>
      <c r="T89" s="28">
        <v>0</v>
      </c>
      <c r="U89" s="28">
        <v>0</v>
      </c>
      <c r="V89" s="28">
        <v>0</v>
      </c>
      <c r="W89" s="28">
        <v>0</v>
      </c>
      <c r="X89" s="28">
        <v>0</v>
      </c>
      <c r="Y89" s="46">
        <v>0</v>
      </c>
      <c r="Z89" s="46">
        <v>0</v>
      </c>
      <c r="AA89" s="46">
        <v>0</v>
      </c>
      <c r="AB89" s="46">
        <v>0</v>
      </c>
    </row>
    <row r="90" spans="1:28">
      <c r="A90" s="43">
        <v>10</v>
      </c>
      <c r="B90" s="16">
        <v>7</v>
      </c>
      <c r="C90" s="28">
        <v>2</v>
      </c>
      <c r="D90" s="28">
        <v>3</v>
      </c>
      <c r="E90" s="28">
        <v>0</v>
      </c>
      <c r="F90" s="28">
        <v>1</v>
      </c>
      <c r="G90" s="28">
        <v>4</v>
      </c>
      <c r="H90" s="28">
        <v>3</v>
      </c>
      <c r="I90" s="28">
        <v>0</v>
      </c>
      <c r="J90" s="28">
        <v>1</v>
      </c>
      <c r="K90" s="28">
        <v>3</v>
      </c>
      <c r="L90" s="28">
        <v>3</v>
      </c>
      <c r="M90" s="28">
        <v>0</v>
      </c>
      <c r="N90" s="28">
        <v>0</v>
      </c>
      <c r="O90" s="28">
        <v>4</v>
      </c>
      <c r="P90" s="28">
        <v>3</v>
      </c>
      <c r="Q90" s="28">
        <v>0</v>
      </c>
      <c r="R90" s="28">
        <v>1</v>
      </c>
      <c r="S90" s="28">
        <v>4</v>
      </c>
      <c r="T90" s="28">
        <v>2</v>
      </c>
      <c r="U90" s="28">
        <v>0</v>
      </c>
      <c r="V90" s="28">
        <v>1</v>
      </c>
      <c r="W90" s="28">
        <v>4</v>
      </c>
      <c r="X90" s="28">
        <v>0</v>
      </c>
      <c r="Y90" s="46">
        <v>0</v>
      </c>
      <c r="Z90" s="46">
        <v>0</v>
      </c>
      <c r="AA90" s="46">
        <v>0</v>
      </c>
      <c r="AB90" s="46">
        <v>0</v>
      </c>
    </row>
    <row r="91" spans="1:28">
      <c r="A91" s="39">
        <v>14</v>
      </c>
      <c r="B91" s="16">
        <v>1</v>
      </c>
      <c r="C91" s="28">
        <v>1</v>
      </c>
      <c r="D91" s="28">
        <v>1</v>
      </c>
      <c r="E91" s="28">
        <v>0</v>
      </c>
      <c r="F91" s="28">
        <v>1</v>
      </c>
      <c r="G91" s="28">
        <v>1</v>
      </c>
      <c r="H91" s="28">
        <v>0</v>
      </c>
      <c r="I91" s="28">
        <v>0</v>
      </c>
      <c r="J91" s="28">
        <v>0</v>
      </c>
      <c r="K91" s="28">
        <v>2</v>
      </c>
      <c r="L91" s="28">
        <v>0</v>
      </c>
      <c r="M91" s="28">
        <v>0</v>
      </c>
      <c r="N91" s="28">
        <v>0</v>
      </c>
      <c r="O91" s="28">
        <v>1</v>
      </c>
      <c r="P91" s="28">
        <v>0</v>
      </c>
      <c r="Q91" s="28">
        <v>0</v>
      </c>
      <c r="R91" s="28">
        <v>0</v>
      </c>
      <c r="S91" s="28">
        <v>1</v>
      </c>
      <c r="T91" s="28">
        <v>0</v>
      </c>
      <c r="U91" s="28">
        <v>0</v>
      </c>
      <c r="V91" s="28">
        <v>0</v>
      </c>
      <c r="W91" s="28">
        <v>1</v>
      </c>
      <c r="X91" s="28">
        <v>0</v>
      </c>
      <c r="Y91" s="46">
        <v>0</v>
      </c>
      <c r="Z91" s="46">
        <v>0</v>
      </c>
      <c r="AA91" s="46">
        <v>0</v>
      </c>
      <c r="AB91" s="46">
        <v>0</v>
      </c>
    </row>
    <row r="92" spans="1:28">
      <c r="A92" s="39">
        <v>14</v>
      </c>
      <c r="B92" s="16">
        <v>2</v>
      </c>
      <c r="C92" s="28">
        <v>0</v>
      </c>
      <c r="D92" s="28">
        <v>0</v>
      </c>
      <c r="E92" s="28">
        <v>0</v>
      </c>
      <c r="F92" s="28">
        <v>0</v>
      </c>
      <c r="G92" s="28">
        <v>0</v>
      </c>
      <c r="H92" s="28">
        <v>0</v>
      </c>
      <c r="I92" s="28">
        <v>0</v>
      </c>
      <c r="J92" s="28">
        <v>0</v>
      </c>
      <c r="K92" s="28">
        <v>0</v>
      </c>
      <c r="L92" s="28">
        <v>0</v>
      </c>
      <c r="M92" s="28">
        <v>0</v>
      </c>
      <c r="N92" s="28">
        <v>0</v>
      </c>
      <c r="O92" s="28">
        <v>0</v>
      </c>
      <c r="P92" s="28">
        <v>0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  <c r="V92" s="28">
        <v>0</v>
      </c>
      <c r="W92" s="28">
        <v>0</v>
      </c>
      <c r="X92" s="28">
        <v>0</v>
      </c>
      <c r="Y92" s="46">
        <v>0</v>
      </c>
      <c r="Z92" s="46">
        <v>0</v>
      </c>
      <c r="AA92" s="46">
        <v>0</v>
      </c>
      <c r="AB92" s="46">
        <v>0</v>
      </c>
    </row>
    <row r="93" spans="1:28">
      <c r="A93" s="39">
        <v>14</v>
      </c>
      <c r="B93" s="16">
        <v>3</v>
      </c>
      <c r="C93" s="28">
        <v>0</v>
      </c>
      <c r="D93" s="28">
        <v>0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46">
        <v>0</v>
      </c>
      <c r="Z93" s="46">
        <v>0</v>
      </c>
      <c r="AA93" s="46">
        <v>0</v>
      </c>
      <c r="AB93" s="46">
        <v>0</v>
      </c>
    </row>
    <row r="94" spans="1:28">
      <c r="A94" s="39">
        <v>14</v>
      </c>
      <c r="B94" s="16">
        <v>4</v>
      </c>
      <c r="C94" s="28">
        <v>0</v>
      </c>
      <c r="D94" s="28">
        <v>0</v>
      </c>
      <c r="E94" s="28">
        <v>0</v>
      </c>
      <c r="F94" s="28">
        <v>0</v>
      </c>
      <c r="G94" s="28">
        <v>0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46">
        <v>0</v>
      </c>
      <c r="Z94" s="46">
        <v>0</v>
      </c>
      <c r="AA94" s="46">
        <v>0</v>
      </c>
      <c r="AB94" s="46">
        <v>0</v>
      </c>
    </row>
    <row r="95" spans="1:28">
      <c r="A95" s="39">
        <v>14</v>
      </c>
      <c r="B95" s="16">
        <v>5</v>
      </c>
      <c r="C95" s="28">
        <v>0</v>
      </c>
      <c r="D95" s="28">
        <v>0</v>
      </c>
      <c r="E95" s="28">
        <v>0</v>
      </c>
      <c r="F95" s="28">
        <v>0</v>
      </c>
      <c r="G95" s="28">
        <v>0</v>
      </c>
      <c r="H95" s="28">
        <v>0</v>
      </c>
      <c r="I95" s="28">
        <v>0</v>
      </c>
      <c r="J95" s="28">
        <v>0</v>
      </c>
      <c r="K95" s="28">
        <v>0</v>
      </c>
      <c r="L95" s="28">
        <v>0</v>
      </c>
      <c r="M95" s="28">
        <v>0</v>
      </c>
      <c r="N95" s="28">
        <v>0</v>
      </c>
      <c r="O95" s="28">
        <v>0</v>
      </c>
      <c r="P95" s="28">
        <v>0</v>
      </c>
      <c r="Q95" s="28">
        <v>0</v>
      </c>
      <c r="R95" s="28">
        <v>0</v>
      </c>
      <c r="S95" s="28">
        <v>0</v>
      </c>
      <c r="T95" s="28">
        <v>0</v>
      </c>
      <c r="U95" s="28">
        <v>0</v>
      </c>
      <c r="V95" s="28">
        <v>0</v>
      </c>
      <c r="W95" s="28">
        <v>0</v>
      </c>
      <c r="X95" s="28">
        <v>0</v>
      </c>
      <c r="Y95" s="46">
        <v>0</v>
      </c>
      <c r="Z95" s="46">
        <v>0</v>
      </c>
      <c r="AA95" s="46">
        <v>0</v>
      </c>
      <c r="AB95" s="46">
        <v>0</v>
      </c>
    </row>
    <row r="96" spans="1:28">
      <c r="A96" s="39">
        <v>14</v>
      </c>
      <c r="B96" s="16">
        <v>6</v>
      </c>
      <c r="C96" s="28">
        <v>1</v>
      </c>
      <c r="D96" s="28">
        <v>1</v>
      </c>
      <c r="E96" s="28">
        <v>0</v>
      </c>
      <c r="F96" s="28">
        <v>1</v>
      </c>
      <c r="G96" s="28">
        <v>0</v>
      </c>
      <c r="H96" s="28">
        <v>2</v>
      </c>
      <c r="I96" s="28">
        <v>0</v>
      </c>
      <c r="J96" s="28">
        <v>0</v>
      </c>
      <c r="K96" s="28">
        <v>0</v>
      </c>
      <c r="L96" s="28">
        <v>2</v>
      </c>
      <c r="M96" s="28">
        <v>0</v>
      </c>
      <c r="N96" s="28">
        <v>0</v>
      </c>
      <c r="O96" s="28">
        <v>1</v>
      </c>
      <c r="P96" s="28">
        <v>2</v>
      </c>
      <c r="Q96" s="28">
        <v>0</v>
      </c>
      <c r="R96" s="28">
        <v>0</v>
      </c>
      <c r="S96" s="28">
        <v>1</v>
      </c>
      <c r="T96" s="28">
        <v>1</v>
      </c>
      <c r="U96" s="28">
        <v>0</v>
      </c>
      <c r="V96" s="28">
        <v>0</v>
      </c>
      <c r="W96" s="28">
        <v>0</v>
      </c>
      <c r="X96" s="28">
        <v>2</v>
      </c>
      <c r="Y96" s="46">
        <v>0</v>
      </c>
      <c r="Z96" s="46">
        <v>0</v>
      </c>
      <c r="AA96" s="46">
        <v>0</v>
      </c>
      <c r="AB96" s="46">
        <v>0</v>
      </c>
    </row>
    <row r="97" spans="1:28">
      <c r="A97" s="39">
        <v>14</v>
      </c>
      <c r="B97" s="16">
        <v>7</v>
      </c>
      <c r="C97" s="28">
        <v>0</v>
      </c>
      <c r="D97" s="28">
        <v>0</v>
      </c>
      <c r="E97" s="28">
        <v>0</v>
      </c>
      <c r="F97" s="28">
        <v>0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0</v>
      </c>
      <c r="W97" s="28">
        <v>0</v>
      </c>
      <c r="X97" s="28">
        <v>0</v>
      </c>
      <c r="Y97" s="46">
        <v>0</v>
      </c>
      <c r="Z97" s="46">
        <v>0</v>
      </c>
      <c r="AA97" s="46">
        <v>0</v>
      </c>
      <c r="AB97" s="46">
        <v>0</v>
      </c>
    </row>
    <row r="98" spans="1:28">
      <c r="A98" s="39">
        <v>14</v>
      </c>
      <c r="B98" s="16">
        <v>8</v>
      </c>
      <c r="C98" s="28">
        <v>1</v>
      </c>
      <c r="D98" s="28">
        <v>0</v>
      </c>
      <c r="E98" s="28">
        <v>0</v>
      </c>
      <c r="F98" s="28">
        <v>0</v>
      </c>
      <c r="G98" s="28">
        <v>0</v>
      </c>
      <c r="H98" s="28">
        <v>0</v>
      </c>
      <c r="I98" s="28">
        <v>0</v>
      </c>
      <c r="J98" s="28">
        <v>0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46">
        <v>0</v>
      </c>
      <c r="Z98" s="46">
        <v>0</v>
      </c>
      <c r="AA98" s="46">
        <v>0</v>
      </c>
      <c r="AB98" s="46">
        <v>0</v>
      </c>
    </row>
    <row r="99" spans="1:28">
      <c r="A99" s="39">
        <v>14</v>
      </c>
      <c r="B99" s="16">
        <v>9</v>
      </c>
      <c r="C99" s="28">
        <v>0</v>
      </c>
      <c r="D99" s="28">
        <v>1</v>
      </c>
      <c r="E99" s="28">
        <v>0</v>
      </c>
      <c r="F99" s="28">
        <v>2</v>
      </c>
      <c r="G99" s="28">
        <v>0</v>
      </c>
      <c r="H99" s="28">
        <v>0</v>
      </c>
      <c r="I99" s="28">
        <v>0</v>
      </c>
      <c r="J99" s="28">
        <v>0</v>
      </c>
      <c r="K99" s="28">
        <v>0</v>
      </c>
      <c r="L99" s="28">
        <v>0</v>
      </c>
      <c r="M99" s="28">
        <v>0</v>
      </c>
      <c r="N99" s="28">
        <v>0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46">
        <v>0</v>
      </c>
      <c r="Z99" s="46">
        <v>0</v>
      </c>
      <c r="AA99" s="46">
        <v>0</v>
      </c>
      <c r="AB99" s="46">
        <v>0</v>
      </c>
    </row>
    <row r="100" spans="1:28">
      <c r="A100" s="39">
        <v>14</v>
      </c>
      <c r="B100" s="16">
        <v>10</v>
      </c>
      <c r="C100" s="28">
        <v>0</v>
      </c>
      <c r="D100" s="28">
        <v>0</v>
      </c>
      <c r="E100" s="28">
        <v>0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0</v>
      </c>
      <c r="M100" s="28">
        <v>0</v>
      </c>
      <c r="N100" s="28">
        <v>0</v>
      </c>
      <c r="O100" s="28">
        <v>1</v>
      </c>
      <c r="P100" s="28">
        <v>0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46">
        <v>0</v>
      </c>
      <c r="Z100" s="46">
        <v>0</v>
      </c>
      <c r="AA100" s="46">
        <v>0</v>
      </c>
      <c r="AB100" s="46">
        <v>0</v>
      </c>
    </row>
    <row r="101" spans="1:28">
      <c r="A101" s="39">
        <v>14</v>
      </c>
      <c r="B101" s="16">
        <v>11</v>
      </c>
      <c r="C101" s="28">
        <v>0</v>
      </c>
      <c r="D101" s="28">
        <v>0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46">
        <v>0</v>
      </c>
      <c r="Z101" s="46">
        <v>0</v>
      </c>
      <c r="AA101" s="46">
        <v>0</v>
      </c>
      <c r="AB101" s="46">
        <v>0</v>
      </c>
    </row>
  </sheetData>
  <autoFilter ref="A4:B101" xr:uid="{00000000-0001-0000-0100-000000000000}"/>
  <mergeCells count="16">
    <mergeCell ref="Z3:AB3"/>
    <mergeCell ref="A4:A6"/>
    <mergeCell ref="C4:F4"/>
    <mergeCell ref="G4:J4"/>
    <mergeCell ref="K4:N4"/>
    <mergeCell ref="C3:F3"/>
    <mergeCell ref="G3:J3"/>
    <mergeCell ref="K3:N3"/>
    <mergeCell ref="O3:R3"/>
    <mergeCell ref="S3:V3"/>
    <mergeCell ref="W3:Y3"/>
    <mergeCell ref="B4:B6"/>
    <mergeCell ref="O4:R4"/>
    <mergeCell ref="S4:V4"/>
    <mergeCell ref="W4:Y4"/>
    <mergeCell ref="Z4:AB4"/>
  </mergeCells>
  <conditionalFormatting sqref="C7:AB101">
    <cfRule type="cellIs" dxfId="4" priority="1" operator="equal">
      <formula>0</formula>
    </cfRule>
    <cfRule type="cellIs" priority="2" operator="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A1:BG36"/>
  <sheetViews>
    <sheetView showGridLines="0" tabSelected="1" topLeftCell="AQ1" zoomScale="110" zoomScaleNormal="110" workbookViewId="0">
      <selection activeCell="BE8" sqref="BE8"/>
    </sheetView>
  </sheetViews>
  <sheetFormatPr baseColWidth="10" defaultRowHeight="14.4"/>
  <cols>
    <col min="1" max="1" width="6.5546875" style="2" customWidth="1"/>
    <col min="2" max="2" width="8.77734375" customWidth="1"/>
    <col min="3" max="3" width="12.44140625" customWidth="1"/>
    <col min="4" max="4" width="17.5546875" bestFit="1" customWidth="1"/>
    <col min="5" max="5" width="14.77734375" bestFit="1" customWidth="1"/>
    <col min="6" max="6" width="9.109375" style="12" bestFit="1" customWidth="1"/>
    <col min="7" max="14" width="11.5546875" style="12" customWidth="1"/>
    <col min="15" max="15" width="11" style="12" customWidth="1"/>
    <col min="16" max="34" width="11.5546875" style="12" customWidth="1"/>
    <col min="35" max="35" width="12.21875" style="12" customWidth="1"/>
    <col min="36" max="38" width="11.5546875" style="12" customWidth="1"/>
    <col min="39" max="39" width="11" style="12" customWidth="1"/>
    <col min="40" max="42" width="11.5546875" style="12" customWidth="1"/>
    <col min="43" max="43" width="11" style="12" customWidth="1"/>
    <col min="44" max="57" width="11.5546875" style="12" customWidth="1"/>
    <col min="58" max="58" width="13.21875" style="12" customWidth="1"/>
    <col min="59" max="59" width="17.44140625" style="12" customWidth="1"/>
    <col min="60" max="60" width="4.21875" customWidth="1"/>
    <col min="61" max="61" width="5" customWidth="1"/>
  </cols>
  <sheetData>
    <row r="1" spans="1:59" ht="25.8">
      <c r="A1" s="20"/>
      <c r="B1" s="12"/>
      <c r="C1" s="12"/>
      <c r="D1" s="12"/>
      <c r="E1" s="12"/>
      <c r="F1" s="21"/>
      <c r="G1" s="21"/>
      <c r="H1" s="21"/>
      <c r="I1" s="21"/>
      <c r="J1" s="30"/>
      <c r="K1" s="30"/>
      <c r="L1" s="30"/>
      <c r="M1" s="30"/>
      <c r="N1" s="21"/>
      <c r="O1" s="3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3"/>
      <c r="BG1" s="23"/>
    </row>
    <row r="2" spans="1:59"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9" ht="18" customHeight="1">
      <c r="A3" s="11" t="s">
        <v>34</v>
      </c>
      <c r="B3" s="9"/>
      <c r="C3" s="9"/>
      <c r="D3" s="9"/>
      <c r="E3" s="10"/>
      <c r="F3" s="81" t="s">
        <v>1</v>
      </c>
      <c r="G3" s="82"/>
      <c r="H3" s="82"/>
      <c r="I3" s="82"/>
      <c r="J3" s="82"/>
      <c r="K3" s="82"/>
      <c r="L3" s="82"/>
      <c r="M3" s="100"/>
      <c r="N3" s="88" t="s">
        <v>2</v>
      </c>
      <c r="O3" s="89"/>
      <c r="P3" s="89"/>
      <c r="Q3" s="89"/>
      <c r="R3" s="89"/>
      <c r="S3" s="89"/>
      <c r="T3" s="89"/>
      <c r="U3" s="98"/>
      <c r="V3" s="81" t="s">
        <v>10</v>
      </c>
      <c r="W3" s="82"/>
      <c r="X3" s="82"/>
      <c r="Y3" s="82"/>
      <c r="Z3" s="82"/>
      <c r="AA3" s="82"/>
      <c r="AB3" s="82"/>
      <c r="AC3" s="100"/>
      <c r="AD3" s="88" t="s">
        <v>11</v>
      </c>
      <c r="AE3" s="89"/>
      <c r="AF3" s="89"/>
      <c r="AG3" s="89"/>
      <c r="AH3" s="89"/>
      <c r="AI3" s="89"/>
      <c r="AJ3" s="89"/>
      <c r="AK3" s="98"/>
      <c r="AL3" s="81" t="s">
        <v>12</v>
      </c>
      <c r="AM3" s="82"/>
      <c r="AN3" s="82"/>
      <c r="AO3" s="82"/>
      <c r="AP3" s="82"/>
      <c r="AQ3" s="82"/>
      <c r="AR3" s="82"/>
      <c r="AS3" s="100"/>
      <c r="AT3" s="88" t="s">
        <v>13</v>
      </c>
      <c r="AU3" s="89"/>
      <c r="AV3" s="89"/>
      <c r="AW3" s="89"/>
      <c r="AX3" s="89"/>
      <c r="AY3" s="66"/>
      <c r="AZ3" s="81" t="s">
        <v>0</v>
      </c>
      <c r="BA3" s="82"/>
      <c r="BB3" s="82"/>
      <c r="BC3" s="82"/>
      <c r="BD3" s="82"/>
      <c r="BE3" s="68"/>
      <c r="BF3" s="92" t="s">
        <v>16</v>
      </c>
      <c r="BG3" s="93"/>
    </row>
    <row r="4" spans="1:59" ht="14.55" customHeight="1">
      <c r="A4" s="83" t="s">
        <v>3</v>
      </c>
      <c r="B4" s="101" t="s">
        <v>19</v>
      </c>
      <c r="C4" s="101" t="s">
        <v>14</v>
      </c>
      <c r="D4" s="83" t="s">
        <v>4</v>
      </c>
      <c r="E4" s="83" t="s">
        <v>5</v>
      </c>
      <c r="F4" s="78">
        <v>46090</v>
      </c>
      <c r="G4" s="79"/>
      <c r="H4" s="79"/>
      <c r="I4" s="79"/>
      <c r="J4" s="79"/>
      <c r="K4" s="79"/>
      <c r="L4" s="79"/>
      <c r="M4" s="99"/>
      <c r="N4" s="78">
        <f>F4+1</f>
        <v>46091</v>
      </c>
      <c r="O4" s="79"/>
      <c r="P4" s="79"/>
      <c r="Q4" s="79"/>
      <c r="R4" s="79"/>
      <c r="S4" s="79"/>
      <c r="T4" s="79"/>
      <c r="U4" s="99"/>
      <c r="V4" s="78">
        <f>N4+1</f>
        <v>46092</v>
      </c>
      <c r="W4" s="79"/>
      <c r="X4" s="79"/>
      <c r="Y4" s="79"/>
      <c r="Z4" s="79"/>
      <c r="AA4" s="79"/>
      <c r="AB4" s="79"/>
      <c r="AC4" s="99"/>
      <c r="AD4" s="78">
        <f>V4+1</f>
        <v>46093</v>
      </c>
      <c r="AE4" s="79"/>
      <c r="AF4" s="79"/>
      <c r="AG4" s="79"/>
      <c r="AH4" s="79"/>
      <c r="AI4" s="79"/>
      <c r="AJ4" s="79"/>
      <c r="AK4" s="99"/>
      <c r="AL4" s="78">
        <f>AD4+1</f>
        <v>46094</v>
      </c>
      <c r="AM4" s="79"/>
      <c r="AN4" s="79"/>
      <c r="AO4" s="79"/>
      <c r="AP4" s="79"/>
      <c r="AQ4" s="79"/>
      <c r="AR4" s="79"/>
      <c r="AS4" s="99"/>
      <c r="AT4" s="78">
        <f>AL4+1</f>
        <v>46095</v>
      </c>
      <c r="AU4" s="79"/>
      <c r="AV4" s="79"/>
      <c r="AW4" s="79"/>
      <c r="AX4" s="79"/>
      <c r="AY4" s="65"/>
      <c r="AZ4" s="78">
        <f t="shared" ref="AZ4" si="0">AT4+1</f>
        <v>46096</v>
      </c>
      <c r="BA4" s="79"/>
      <c r="BB4" s="79"/>
      <c r="BC4" s="79"/>
      <c r="BD4" s="79"/>
      <c r="BE4" s="69"/>
      <c r="BF4" s="94"/>
      <c r="BG4" s="95"/>
    </row>
    <row r="5" spans="1:59" ht="14.55" customHeight="1">
      <c r="A5" s="83"/>
      <c r="B5" s="101"/>
      <c r="C5" s="101"/>
      <c r="D5" s="83"/>
      <c r="E5" s="83"/>
      <c r="F5" s="86" t="s">
        <v>6</v>
      </c>
      <c r="G5" s="86"/>
      <c r="H5" s="86" t="s">
        <v>7</v>
      </c>
      <c r="I5" s="87"/>
      <c r="J5" s="86" t="s">
        <v>21</v>
      </c>
      <c r="K5" s="87"/>
      <c r="L5" s="86" t="s">
        <v>22</v>
      </c>
      <c r="M5" s="87"/>
      <c r="N5" s="86" t="s">
        <v>6</v>
      </c>
      <c r="O5" s="87"/>
      <c r="P5" s="86" t="s">
        <v>7</v>
      </c>
      <c r="Q5" s="87"/>
      <c r="R5" s="86" t="s">
        <v>21</v>
      </c>
      <c r="S5" s="87"/>
      <c r="T5" s="86" t="s">
        <v>22</v>
      </c>
      <c r="U5" s="87"/>
      <c r="V5" s="86" t="s">
        <v>6</v>
      </c>
      <c r="W5" s="87"/>
      <c r="X5" s="86" t="s">
        <v>7</v>
      </c>
      <c r="Y5" s="87"/>
      <c r="Z5" s="86" t="s">
        <v>21</v>
      </c>
      <c r="AA5" s="87"/>
      <c r="AB5" s="86" t="s">
        <v>22</v>
      </c>
      <c r="AC5" s="87"/>
      <c r="AD5" s="86" t="s">
        <v>6</v>
      </c>
      <c r="AE5" s="87"/>
      <c r="AF5" s="86" t="s">
        <v>7</v>
      </c>
      <c r="AG5" s="87"/>
      <c r="AH5" s="86" t="s">
        <v>21</v>
      </c>
      <c r="AI5" s="87"/>
      <c r="AJ5" s="86" t="s">
        <v>22</v>
      </c>
      <c r="AK5" s="87"/>
      <c r="AL5" s="86" t="s">
        <v>6</v>
      </c>
      <c r="AM5" s="87"/>
      <c r="AN5" s="86" t="s">
        <v>7</v>
      </c>
      <c r="AO5" s="87"/>
      <c r="AP5" s="86" t="s">
        <v>21</v>
      </c>
      <c r="AQ5" s="87"/>
      <c r="AR5" s="86" t="s">
        <v>22</v>
      </c>
      <c r="AS5" s="87"/>
      <c r="AT5" s="86" t="s">
        <v>6</v>
      </c>
      <c r="AU5" s="87"/>
      <c r="AV5" s="86" t="s">
        <v>7</v>
      </c>
      <c r="AW5" s="87"/>
      <c r="AX5" s="86" t="s">
        <v>22</v>
      </c>
      <c r="AY5" s="87"/>
      <c r="AZ5" s="86" t="s">
        <v>6</v>
      </c>
      <c r="BA5" s="87"/>
      <c r="BB5" s="86" t="s">
        <v>7</v>
      </c>
      <c r="BC5" s="87"/>
      <c r="BD5" s="90" t="s">
        <v>22</v>
      </c>
      <c r="BE5" s="91"/>
      <c r="BF5" s="96"/>
      <c r="BG5" s="97"/>
    </row>
    <row r="6" spans="1:59" ht="24.75" customHeight="1">
      <c r="A6" s="83"/>
      <c r="B6" s="101"/>
      <c r="C6" s="101"/>
      <c r="D6" s="83"/>
      <c r="E6" s="83"/>
      <c r="F6" s="27" t="s">
        <v>8</v>
      </c>
      <c r="G6" s="25" t="s">
        <v>9</v>
      </c>
      <c r="H6" s="27" t="s">
        <v>8</v>
      </c>
      <c r="I6" s="25" t="s">
        <v>9</v>
      </c>
      <c r="J6" s="27" t="s">
        <v>8</v>
      </c>
      <c r="K6" s="25" t="s">
        <v>9</v>
      </c>
      <c r="L6" s="27" t="s">
        <v>8</v>
      </c>
      <c r="M6" s="25" t="s">
        <v>9</v>
      </c>
      <c r="N6" s="27" t="s">
        <v>8</v>
      </c>
      <c r="O6" s="25" t="s">
        <v>9</v>
      </c>
      <c r="P6" s="27" t="s">
        <v>8</v>
      </c>
      <c r="Q6" s="25" t="s">
        <v>9</v>
      </c>
      <c r="R6" s="27" t="s">
        <v>8</v>
      </c>
      <c r="S6" s="25" t="s">
        <v>9</v>
      </c>
      <c r="T6" s="27" t="s">
        <v>8</v>
      </c>
      <c r="U6" s="25" t="s">
        <v>9</v>
      </c>
      <c r="V6" s="27" t="s">
        <v>8</v>
      </c>
      <c r="W6" s="25" t="s">
        <v>9</v>
      </c>
      <c r="X6" s="27" t="s">
        <v>8</v>
      </c>
      <c r="Y6" s="25" t="s">
        <v>9</v>
      </c>
      <c r="Z6" s="27" t="s">
        <v>8</v>
      </c>
      <c r="AA6" s="25" t="s">
        <v>9</v>
      </c>
      <c r="AB6" s="27" t="s">
        <v>8</v>
      </c>
      <c r="AC6" s="25" t="s">
        <v>9</v>
      </c>
      <c r="AD6" s="27" t="s">
        <v>8</v>
      </c>
      <c r="AE6" s="25" t="s">
        <v>9</v>
      </c>
      <c r="AF6" s="27" t="s">
        <v>8</v>
      </c>
      <c r="AG6" s="25" t="s">
        <v>9</v>
      </c>
      <c r="AH6" s="27" t="s">
        <v>8</v>
      </c>
      <c r="AI6" s="25" t="s">
        <v>9</v>
      </c>
      <c r="AJ6" s="27" t="s">
        <v>8</v>
      </c>
      <c r="AK6" s="25" t="s">
        <v>9</v>
      </c>
      <c r="AL6" s="27" t="s">
        <v>8</v>
      </c>
      <c r="AM6" s="25" t="s">
        <v>9</v>
      </c>
      <c r="AN6" s="27" t="s">
        <v>8</v>
      </c>
      <c r="AO6" s="25" t="s">
        <v>9</v>
      </c>
      <c r="AP6" s="27" t="s">
        <v>8</v>
      </c>
      <c r="AQ6" s="25" t="s">
        <v>9</v>
      </c>
      <c r="AR6" s="27" t="s">
        <v>8</v>
      </c>
      <c r="AS6" s="25" t="s">
        <v>9</v>
      </c>
      <c r="AT6" s="27" t="s">
        <v>8</v>
      </c>
      <c r="AU6" s="25" t="s">
        <v>9</v>
      </c>
      <c r="AV6" s="27" t="s">
        <v>8</v>
      </c>
      <c r="AW6" s="25" t="s">
        <v>9</v>
      </c>
      <c r="AX6" s="27" t="s">
        <v>8</v>
      </c>
      <c r="AY6" s="25" t="s">
        <v>9</v>
      </c>
      <c r="AZ6" s="27" t="s">
        <v>8</v>
      </c>
      <c r="BA6" s="25" t="s">
        <v>9</v>
      </c>
      <c r="BB6" s="27" t="s">
        <v>8</v>
      </c>
      <c r="BC6" s="25" t="s">
        <v>9</v>
      </c>
      <c r="BD6" s="27" t="s">
        <v>8</v>
      </c>
      <c r="BE6" s="25" t="s">
        <v>9</v>
      </c>
      <c r="BF6" s="42" t="s">
        <v>36</v>
      </c>
      <c r="BG6" s="42" t="s">
        <v>35</v>
      </c>
    </row>
    <row r="7" spans="1:59">
      <c r="A7" s="16">
        <v>1</v>
      </c>
      <c r="B7" s="3">
        <v>37</v>
      </c>
      <c r="C7" s="4" t="s">
        <v>38</v>
      </c>
      <c r="D7" s="5" t="s">
        <v>32</v>
      </c>
      <c r="E7" s="6" t="s">
        <v>33</v>
      </c>
      <c r="F7" s="28">
        <f>SUM('Paradas Ilpea'!C7:C18)</f>
        <v>24</v>
      </c>
      <c r="G7" s="29">
        <f>F7/B7</f>
        <v>0.64864864864864868</v>
      </c>
      <c r="H7" s="28">
        <f>SUM('Paradas Ilpea'!D7:D18)</f>
        <v>26</v>
      </c>
      <c r="I7" s="29">
        <f>H7/B7</f>
        <v>0.70270270270270274</v>
      </c>
      <c r="J7" s="28">
        <f>SUM('Paradas Ilpea'!E7:E18)</f>
        <v>1</v>
      </c>
      <c r="K7" s="29">
        <f>J7/B7</f>
        <v>2.7027027027027029E-2</v>
      </c>
      <c r="L7" s="28">
        <f>SUM('Paradas Ilpea'!F7:F18)</f>
        <v>13</v>
      </c>
      <c r="M7" s="29">
        <f t="shared" ref="M7:M16" si="1">L7/B7</f>
        <v>0.35135135135135137</v>
      </c>
      <c r="N7" s="28">
        <f>SUM('Paradas Ilpea'!G7:G18)</f>
        <v>24</v>
      </c>
      <c r="O7" s="29">
        <f t="shared" ref="O7:O16" si="2">N7/B7</f>
        <v>0.64864864864864868</v>
      </c>
      <c r="P7" s="28">
        <f>SUM('Paradas Ilpea'!H7:H18)</f>
        <v>25</v>
      </c>
      <c r="Q7" s="67">
        <f t="shared" ref="Q7:Q16" si="3">P7/B7</f>
        <v>0.67567567567567566</v>
      </c>
      <c r="R7" s="28">
        <f>SUM('Paradas Ilpea'!I7:I18)</f>
        <v>1</v>
      </c>
      <c r="S7" s="29">
        <f t="shared" ref="S7:S16" si="4">R7/B7</f>
        <v>2.7027027027027029E-2</v>
      </c>
      <c r="T7" s="28">
        <f>SUM('Paradas Ilpea'!J7:J18)</f>
        <v>13</v>
      </c>
      <c r="U7" s="29">
        <f t="shared" ref="U7:U16" si="5">T7/B7</f>
        <v>0.35135135135135137</v>
      </c>
      <c r="V7" s="28">
        <f>SUM('Paradas Ilpea'!K7:K18)</f>
        <v>23</v>
      </c>
      <c r="W7" s="29">
        <f t="shared" ref="W7:W16" si="6">V7/B7</f>
        <v>0.6216216216216216</v>
      </c>
      <c r="X7" s="28">
        <f>SUM('Paradas Ilpea'!L7:L18)</f>
        <v>24</v>
      </c>
      <c r="Y7" s="67">
        <f t="shared" ref="Y7:Y16" si="7">X7/B7</f>
        <v>0.64864864864864868</v>
      </c>
      <c r="Z7" s="28">
        <f>SUM('Paradas Ilpea'!M7:M18)</f>
        <v>1</v>
      </c>
      <c r="AA7" s="29">
        <f t="shared" ref="AA7:AA16" si="8">Z7/B7</f>
        <v>2.7027027027027029E-2</v>
      </c>
      <c r="AB7" s="28">
        <f>SUM('Paradas Ilpea'!N7:N18)</f>
        <v>13</v>
      </c>
      <c r="AC7" s="29">
        <f t="shared" ref="AC7:AC16" si="9">AB7/B7</f>
        <v>0.35135135135135137</v>
      </c>
      <c r="AD7" s="28">
        <f>SUM('Paradas Ilpea'!O7:O18)</f>
        <v>24</v>
      </c>
      <c r="AE7" s="29">
        <f t="shared" ref="AE7:AE16" si="10">AD7/B7</f>
        <v>0.64864864864864868</v>
      </c>
      <c r="AF7" s="28">
        <f>SUM('Paradas Ilpea'!P7:P18)</f>
        <v>26</v>
      </c>
      <c r="AG7" s="29">
        <f>AF7/B7</f>
        <v>0.70270270270270274</v>
      </c>
      <c r="AH7" s="28">
        <f>SUM('Paradas Ilpea'!Q7:Q18)</f>
        <v>1</v>
      </c>
      <c r="AI7" s="29">
        <f>AH7/B7</f>
        <v>2.7027027027027029E-2</v>
      </c>
      <c r="AJ7" s="28">
        <f>SUM('Paradas Ilpea'!R7:R18)</f>
        <v>13</v>
      </c>
      <c r="AK7" s="29">
        <f t="shared" ref="AK7:AK16" si="11">AJ7/B7</f>
        <v>0.35135135135135137</v>
      </c>
      <c r="AL7" s="28">
        <f>SUM('Paradas Ilpea'!S7:S18)</f>
        <v>24</v>
      </c>
      <c r="AM7" s="29">
        <f t="shared" ref="AM7:AM16" si="12">AL7/B7</f>
        <v>0.64864864864864868</v>
      </c>
      <c r="AN7" s="28">
        <f>SUM('Paradas Ilpea'!T7:T18)</f>
        <v>26</v>
      </c>
      <c r="AO7" s="29">
        <f t="shared" ref="AO7:AO16" si="13">AN7/B7</f>
        <v>0.70270270270270274</v>
      </c>
      <c r="AP7" s="28">
        <f>SUM('Paradas Ilpea'!U7:U18)</f>
        <v>1</v>
      </c>
      <c r="AQ7" s="29">
        <f t="shared" ref="AQ7:AQ16" si="14">AP7/B7</f>
        <v>2.7027027027027029E-2</v>
      </c>
      <c r="AR7" s="28">
        <f>SUM('Paradas Ilpea'!V7:V18)</f>
        <v>13</v>
      </c>
      <c r="AS7" s="29">
        <f t="shared" ref="AS7:AS16" si="15">AR7/B7</f>
        <v>0.35135135135135137</v>
      </c>
      <c r="AT7" s="28">
        <f>SUM('Paradas Ilpea'!W7:W18)</f>
        <v>19</v>
      </c>
      <c r="AU7" s="29">
        <f t="shared" ref="AU7:AU16" si="16">AT7/B7</f>
        <v>0.51351351351351349</v>
      </c>
      <c r="AV7" s="28">
        <f>SUM('Paradas Ilpea'!X7:X18)</f>
        <v>26</v>
      </c>
      <c r="AW7" s="29">
        <f t="shared" ref="AW7:AW16" si="17">AV7/B7</f>
        <v>0.70270270270270274</v>
      </c>
      <c r="AX7" s="28">
        <f>SUM('Paradas Ilpea'!Y7:Y18)</f>
        <v>0</v>
      </c>
      <c r="AY7" s="29">
        <f t="shared" ref="AY7:AY16" si="18">AX7/B7</f>
        <v>0</v>
      </c>
      <c r="AZ7" s="28">
        <f>SUM('Paradas Ilpea'!Z7:Z18)</f>
        <v>0</v>
      </c>
      <c r="BA7" s="29">
        <f t="shared" ref="BA7:BA16" si="19">AZ7/B7</f>
        <v>0</v>
      </c>
      <c r="BB7" s="28">
        <f>SUM('Paradas Ilpea'!AA7:AA18)</f>
        <v>0</v>
      </c>
      <c r="BC7" s="29">
        <f t="shared" ref="BC7:BC16" si="20">BB7/B7</f>
        <v>0</v>
      </c>
      <c r="BD7" s="28">
        <f>SUM('Paradas Ilpea'!AB7:AB18)</f>
        <v>0</v>
      </c>
      <c r="BE7" s="29">
        <f t="shared" ref="BE7:BE16" si="21">BD7/B7</f>
        <v>0</v>
      </c>
      <c r="BF7" s="15">
        <f>AVERAGE(F7,H7,J7,L7,N7,P7,R7,V7,T7,X7,Z7,AB7,AD7,AF7,AH7,AJ7,AL7,AN7,,AP7,AR7,AT7,AV7,AX7,AZ7,BB7,BD7)</f>
        <v>13.37037037037037</v>
      </c>
      <c r="BG7" s="14">
        <f>AVERAGE(G7,I7,K7,M7,O7,Q7,S7,U7,W7,Y7,AA7,AC7,AE7,AG7,AI7,AK7,AM7,AO7,AQ7,AS7,AU7,AW7,AY7,BA7,BC7,BE7)</f>
        <v>0.37525987525987531</v>
      </c>
    </row>
    <row r="8" spans="1:59">
      <c r="A8" s="16">
        <v>2</v>
      </c>
      <c r="B8" s="3">
        <v>37</v>
      </c>
      <c r="C8" s="4" t="s">
        <v>38</v>
      </c>
      <c r="D8" s="5" t="s">
        <v>30</v>
      </c>
      <c r="E8" s="6" t="s">
        <v>31</v>
      </c>
      <c r="F8" s="28">
        <f>SUM('Paradas Ilpea'!C19:C32)</f>
        <v>24</v>
      </c>
      <c r="G8" s="29">
        <f t="shared" ref="G8:G14" si="22">F8/B8</f>
        <v>0.64864864864864868</v>
      </c>
      <c r="H8" s="28">
        <f>SUM('Paradas Ilpea'!D19:D32)</f>
        <v>24</v>
      </c>
      <c r="I8" s="29">
        <f t="shared" ref="I8:I16" si="23">H8/B8</f>
        <v>0.64864864864864868</v>
      </c>
      <c r="J8" s="28">
        <f>SUM('Paradas Ilpea'!E19:E32)</f>
        <v>3</v>
      </c>
      <c r="K8" s="29">
        <f t="shared" ref="K8:K16" si="24">J8/B8</f>
        <v>8.1081081081081086E-2</v>
      </c>
      <c r="L8" s="28">
        <f>SUM('Paradas Ilpea'!F19:F32)</f>
        <v>16</v>
      </c>
      <c r="M8" s="29">
        <f t="shared" si="1"/>
        <v>0.43243243243243246</v>
      </c>
      <c r="N8" s="28">
        <f>SUM('Paradas Ilpea'!G19:G32)</f>
        <v>25</v>
      </c>
      <c r="O8" s="29">
        <f t="shared" si="2"/>
        <v>0.67567567567567566</v>
      </c>
      <c r="P8" s="28">
        <f>SUM('Paradas Ilpea'!H19:H32)</f>
        <v>29</v>
      </c>
      <c r="Q8" s="67">
        <f t="shared" si="3"/>
        <v>0.78378378378378377</v>
      </c>
      <c r="R8" s="28">
        <f>SUM('Paradas Ilpea'!I19:I32)</f>
        <v>3</v>
      </c>
      <c r="S8" s="29">
        <f t="shared" si="4"/>
        <v>8.1081081081081086E-2</v>
      </c>
      <c r="T8" s="28">
        <f>SUM('Paradas Ilpea'!J19:J32)</f>
        <v>15</v>
      </c>
      <c r="U8" s="29">
        <f t="shared" si="5"/>
        <v>0.40540540540540543</v>
      </c>
      <c r="V8" s="28">
        <f>SUM('Paradas Ilpea'!K19:K32)</f>
        <v>26</v>
      </c>
      <c r="W8" s="29">
        <f t="shared" si="6"/>
        <v>0.70270270270270274</v>
      </c>
      <c r="X8" s="28">
        <f>SUM('Paradas Ilpea'!L19:L32)</f>
        <v>29</v>
      </c>
      <c r="Y8" s="67">
        <f t="shared" si="7"/>
        <v>0.78378378378378377</v>
      </c>
      <c r="Z8" s="28">
        <f>SUM('Paradas Ilpea'!M19:M32)</f>
        <v>3</v>
      </c>
      <c r="AA8" s="29">
        <f t="shared" si="8"/>
        <v>8.1081081081081086E-2</v>
      </c>
      <c r="AB8" s="28">
        <f>SUM('Paradas Ilpea'!N19:N32)</f>
        <v>15</v>
      </c>
      <c r="AC8" s="29">
        <f t="shared" si="9"/>
        <v>0.40540540540540543</v>
      </c>
      <c r="AD8" s="28">
        <f>SUM('Paradas Ilpea'!O19:O32)</f>
        <v>24</v>
      </c>
      <c r="AE8" s="29">
        <f t="shared" si="10"/>
        <v>0.64864864864864868</v>
      </c>
      <c r="AF8" s="28">
        <f>SUM('Paradas Ilpea'!P19:P32)</f>
        <v>28</v>
      </c>
      <c r="AG8" s="29">
        <f t="shared" ref="AG8:AG16" si="25">AF8/B8</f>
        <v>0.7567567567567568</v>
      </c>
      <c r="AH8" s="28">
        <f>SUM('Paradas Ilpea'!Q19:Q32)</f>
        <v>3</v>
      </c>
      <c r="AI8" s="29">
        <f t="shared" ref="AI8:AI16" si="26">AH8/B8</f>
        <v>8.1081081081081086E-2</v>
      </c>
      <c r="AJ8" s="28">
        <f>SUM('Paradas Ilpea'!R19:R32)</f>
        <v>15</v>
      </c>
      <c r="AK8" s="29">
        <f t="shared" si="11"/>
        <v>0.40540540540540543</v>
      </c>
      <c r="AL8" s="28">
        <f>SUM('Paradas Ilpea'!S19:S32)</f>
        <v>26</v>
      </c>
      <c r="AM8" s="29">
        <f t="shared" si="12"/>
        <v>0.70270270270270274</v>
      </c>
      <c r="AN8" s="28">
        <f>SUM('Paradas Ilpea'!T19:T32)</f>
        <v>29</v>
      </c>
      <c r="AO8" s="29">
        <f t="shared" si="13"/>
        <v>0.78378378378378377</v>
      </c>
      <c r="AP8" s="28">
        <f>SUM('Paradas Ilpea'!U19:U32)</f>
        <v>3</v>
      </c>
      <c r="AQ8" s="29">
        <f t="shared" si="14"/>
        <v>8.1081081081081086E-2</v>
      </c>
      <c r="AR8" s="28">
        <f>SUM('Paradas Ilpea'!V19:V32)</f>
        <v>15</v>
      </c>
      <c r="AS8" s="29">
        <f t="shared" si="15"/>
        <v>0.40540540540540543</v>
      </c>
      <c r="AT8" s="28">
        <f>SUM('Paradas Ilpea'!W19:W32)</f>
        <v>21</v>
      </c>
      <c r="AU8" s="29">
        <f t="shared" si="16"/>
        <v>0.56756756756756754</v>
      </c>
      <c r="AV8" s="28">
        <f>SUM('Paradas Ilpea'!X19:X32)</f>
        <v>25</v>
      </c>
      <c r="AW8" s="29">
        <f t="shared" si="17"/>
        <v>0.67567567567567566</v>
      </c>
      <c r="AX8" s="28">
        <f>SUM('Paradas Ilpea'!Y19:Y32)</f>
        <v>0</v>
      </c>
      <c r="AY8" s="29">
        <f t="shared" si="18"/>
        <v>0</v>
      </c>
      <c r="AZ8" s="28">
        <f>SUM('Paradas Ilpea'!Z19:Z32)</f>
        <v>0</v>
      </c>
      <c r="BA8" s="29">
        <f t="shared" si="19"/>
        <v>0</v>
      </c>
      <c r="BB8" s="28">
        <f>SUM('Paradas Ilpea'!AA19:AA32)</f>
        <v>0</v>
      </c>
      <c r="BC8" s="29">
        <f t="shared" si="20"/>
        <v>0</v>
      </c>
      <c r="BD8" s="28">
        <f>SUM('Paradas Ilpea'!AB19:AB32)</f>
        <v>0</v>
      </c>
      <c r="BE8" s="29">
        <f t="shared" si="21"/>
        <v>0</v>
      </c>
      <c r="BF8" s="15">
        <f t="shared" ref="BF8:BF16" si="27">AVERAGE(F8,H8,J8,L8,N8,P8,R8,V8,T8,X8,Z8,AB8,AD8,AF8,AH8,AJ8,AL8,AN8,,AP8,AR8,AT8,AV8,AX8,AZ8,BB8,BD8)</f>
        <v>14.851851851851851</v>
      </c>
      <c r="BG8" s="14">
        <f t="shared" ref="BG8:BG16" si="28">AVERAGE(G8,I8,K8,M8,O8,Q8,S8,U8,W8,Y8,AA8,AC8,AE8,AG8,AI8,AK8,AM8,AO8,AQ8,AS8,AU8,AW8,AY8,BA8,BC8,BE8)</f>
        <v>0.41683991683991678</v>
      </c>
    </row>
    <row r="9" spans="1:59" ht="15" customHeight="1">
      <c r="A9" s="16">
        <v>3</v>
      </c>
      <c r="B9" s="3">
        <v>13</v>
      </c>
      <c r="C9" s="4" t="s">
        <v>37</v>
      </c>
      <c r="D9" s="5" t="s">
        <v>29</v>
      </c>
      <c r="E9" s="6" t="s">
        <v>24</v>
      </c>
      <c r="F9" s="28">
        <f>SUM('Paradas Ilpea'!C33:C39)</f>
        <v>5</v>
      </c>
      <c r="G9" s="29">
        <f t="shared" si="22"/>
        <v>0.38461538461538464</v>
      </c>
      <c r="H9" s="28">
        <f>SUM('Paradas Ilpea'!D33:D39)</f>
        <v>2</v>
      </c>
      <c r="I9" s="29">
        <f t="shared" si="23"/>
        <v>0.15384615384615385</v>
      </c>
      <c r="J9" s="28">
        <f>SUM('Paradas Ilpea'!E33:E39)</f>
        <v>1</v>
      </c>
      <c r="K9" s="29">
        <f t="shared" si="24"/>
        <v>7.6923076923076927E-2</v>
      </c>
      <c r="L9" s="28">
        <f>SUM('Paradas Ilpea'!F33:F39)</f>
        <v>1</v>
      </c>
      <c r="M9" s="29">
        <f t="shared" si="1"/>
        <v>7.6923076923076927E-2</v>
      </c>
      <c r="N9" s="28">
        <f>SUM('Paradas Ilpea'!G33:G39)</f>
        <v>4</v>
      </c>
      <c r="O9" s="29">
        <f t="shared" si="2"/>
        <v>0.30769230769230771</v>
      </c>
      <c r="P9" s="28">
        <f>SUM('Paradas Ilpea'!H33:H39)</f>
        <v>2</v>
      </c>
      <c r="Q9" s="67">
        <f t="shared" si="3"/>
        <v>0.15384615384615385</v>
      </c>
      <c r="R9" s="28">
        <f>SUM('Paradas Ilpea'!I33:I39)</f>
        <v>1</v>
      </c>
      <c r="S9" s="29">
        <f t="shared" si="4"/>
        <v>7.6923076923076927E-2</v>
      </c>
      <c r="T9" s="28">
        <f>SUM('Paradas Ilpea'!J33:J39)</f>
        <v>1</v>
      </c>
      <c r="U9" s="29">
        <f t="shared" si="5"/>
        <v>7.6923076923076927E-2</v>
      </c>
      <c r="V9" s="28">
        <f>SUM('Paradas Ilpea'!K33:K39)</f>
        <v>5</v>
      </c>
      <c r="W9" s="29">
        <f t="shared" si="6"/>
        <v>0.38461538461538464</v>
      </c>
      <c r="X9" s="28">
        <f>SUM('Paradas Ilpea'!L33:L39)</f>
        <v>2</v>
      </c>
      <c r="Y9" s="67">
        <f t="shared" si="7"/>
        <v>0.15384615384615385</v>
      </c>
      <c r="Z9" s="28">
        <f>SUM('Paradas Ilpea'!M33:M39)</f>
        <v>1</v>
      </c>
      <c r="AA9" s="29">
        <f t="shared" si="8"/>
        <v>7.6923076923076927E-2</v>
      </c>
      <c r="AB9" s="28">
        <f>SUM('Paradas Ilpea'!N33:N39)</f>
        <v>1</v>
      </c>
      <c r="AC9" s="29">
        <f t="shared" si="9"/>
        <v>7.6923076923076927E-2</v>
      </c>
      <c r="AD9" s="28">
        <f>SUM('Paradas Ilpea'!O33:O39)</f>
        <v>5</v>
      </c>
      <c r="AE9" s="29">
        <f t="shared" si="10"/>
        <v>0.38461538461538464</v>
      </c>
      <c r="AF9" s="28">
        <f>SUM('Paradas Ilpea'!P33:P39)</f>
        <v>2</v>
      </c>
      <c r="AG9" s="29">
        <f t="shared" si="25"/>
        <v>0.15384615384615385</v>
      </c>
      <c r="AH9" s="28">
        <f>SUM('Paradas Ilpea'!Q33:Q39)</f>
        <v>1</v>
      </c>
      <c r="AI9" s="29">
        <f t="shared" si="26"/>
        <v>7.6923076923076927E-2</v>
      </c>
      <c r="AJ9" s="28">
        <f>SUM('Paradas Ilpea'!R33:R39)</f>
        <v>1</v>
      </c>
      <c r="AK9" s="29">
        <f t="shared" si="11"/>
        <v>7.6923076923076927E-2</v>
      </c>
      <c r="AL9" s="28">
        <f>SUM('Paradas Ilpea'!S33:S39)</f>
        <v>5</v>
      </c>
      <c r="AM9" s="29">
        <f t="shared" si="12"/>
        <v>0.38461538461538464</v>
      </c>
      <c r="AN9" s="28">
        <f>SUM('Paradas Ilpea'!T33:T39)</f>
        <v>2</v>
      </c>
      <c r="AO9" s="29">
        <f t="shared" si="13"/>
        <v>0.15384615384615385</v>
      </c>
      <c r="AP9" s="28">
        <f>SUM('Paradas Ilpea'!U33:U39)</f>
        <v>1</v>
      </c>
      <c r="AQ9" s="29">
        <f t="shared" si="14"/>
        <v>7.6923076923076927E-2</v>
      </c>
      <c r="AR9" s="28">
        <f>SUM('Paradas Ilpea'!V33:V39)</f>
        <v>1</v>
      </c>
      <c r="AS9" s="29">
        <f t="shared" si="15"/>
        <v>7.6923076923076927E-2</v>
      </c>
      <c r="AT9" s="28">
        <f>SUM('Paradas Ilpea'!W33:W39)</f>
        <v>5</v>
      </c>
      <c r="AU9" s="29">
        <f t="shared" si="16"/>
        <v>0.38461538461538464</v>
      </c>
      <c r="AV9" s="28">
        <f>SUM('Paradas Ilpea'!X33:X39)</f>
        <v>1</v>
      </c>
      <c r="AW9" s="29">
        <f t="shared" si="17"/>
        <v>7.6923076923076927E-2</v>
      </c>
      <c r="AX9" s="28">
        <f>SUM('Paradas Ilpea'!Y33:Y39)</f>
        <v>1</v>
      </c>
      <c r="AY9" s="29">
        <f t="shared" si="18"/>
        <v>7.6923076923076927E-2</v>
      </c>
      <c r="AZ9" s="28">
        <f>SUM('Paradas Ilpea'!Z33:Z39)</f>
        <v>0</v>
      </c>
      <c r="BA9" s="29">
        <f t="shared" si="19"/>
        <v>0</v>
      </c>
      <c r="BB9" s="28">
        <f>SUM('Paradas Ilpea'!AA33:AA39)</f>
        <v>0</v>
      </c>
      <c r="BC9" s="29">
        <f t="shared" si="20"/>
        <v>0</v>
      </c>
      <c r="BD9" s="28">
        <f>SUM('Paradas Ilpea'!AB33:AB39)</f>
        <v>0</v>
      </c>
      <c r="BE9" s="29">
        <f t="shared" si="21"/>
        <v>0</v>
      </c>
      <c r="BF9" s="15">
        <f t="shared" si="27"/>
        <v>1.8888888888888888</v>
      </c>
      <c r="BG9" s="14">
        <f t="shared" si="28"/>
        <v>0.15088757396449706</v>
      </c>
    </row>
    <row r="10" spans="1:59">
      <c r="A10" s="16">
        <v>4</v>
      </c>
      <c r="B10" s="3">
        <v>14</v>
      </c>
      <c r="C10" s="4" t="s">
        <v>37</v>
      </c>
      <c r="D10" s="5" t="s">
        <v>27</v>
      </c>
      <c r="E10" s="6" t="s">
        <v>28</v>
      </c>
      <c r="F10" s="28">
        <f>SUM('Paradas Ilpea'!C40:C51)</f>
        <v>8</v>
      </c>
      <c r="G10" s="29">
        <f t="shared" si="22"/>
        <v>0.5714285714285714</v>
      </c>
      <c r="H10" s="28">
        <f>SUM('Paradas Ilpea'!D40:D51)</f>
        <v>4</v>
      </c>
      <c r="I10" s="29">
        <f t="shared" si="23"/>
        <v>0.2857142857142857</v>
      </c>
      <c r="J10" s="28">
        <f>SUM('Paradas Ilpea'!E40:E51)</f>
        <v>1</v>
      </c>
      <c r="K10" s="29">
        <f t="shared" si="24"/>
        <v>7.1428571428571425E-2</v>
      </c>
      <c r="L10" s="28">
        <f>SUM('Paradas Ilpea'!F40:F51)</f>
        <v>3</v>
      </c>
      <c r="M10" s="29">
        <f t="shared" si="1"/>
        <v>0.21428571428571427</v>
      </c>
      <c r="N10" s="28">
        <f>SUM('Paradas Ilpea'!G40:G51)</f>
        <v>9</v>
      </c>
      <c r="O10" s="29">
        <f t="shared" si="2"/>
        <v>0.6428571428571429</v>
      </c>
      <c r="P10" s="28">
        <f>SUM('Paradas Ilpea'!H40:H51)</f>
        <v>3</v>
      </c>
      <c r="Q10" s="67">
        <f t="shared" si="3"/>
        <v>0.21428571428571427</v>
      </c>
      <c r="R10" s="28">
        <f>SUM('Paradas Ilpea'!I40:I51)</f>
        <v>1</v>
      </c>
      <c r="S10" s="29">
        <f t="shared" si="4"/>
        <v>7.1428571428571425E-2</v>
      </c>
      <c r="T10" s="28">
        <f>SUM('Paradas Ilpea'!J40:J51)</f>
        <v>3</v>
      </c>
      <c r="U10" s="29">
        <f t="shared" si="5"/>
        <v>0.21428571428571427</v>
      </c>
      <c r="V10" s="28">
        <f>SUM('Paradas Ilpea'!K40:K51)</f>
        <v>8</v>
      </c>
      <c r="W10" s="29">
        <f t="shared" si="6"/>
        <v>0.5714285714285714</v>
      </c>
      <c r="X10" s="28">
        <f>SUM('Paradas Ilpea'!L40:L51)</f>
        <v>3</v>
      </c>
      <c r="Y10" s="67">
        <f t="shared" si="7"/>
        <v>0.21428571428571427</v>
      </c>
      <c r="Z10" s="28">
        <f>SUM('Paradas Ilpea'!M40:M51)</f>
        <v>1</v>
      </c>
      <c r="AA10" s="29">
        <f t="shared" si="8"/>
        <v>7.1428571428571425E-2</v>
      </c>
      <c r="AB10" s="28">
        <f>SUM('Paradas Ilpea'!N40:N51)</f>
        <v>3</v>
      </c>
      <c r="AC10" s="29">
        <f t="shared" si="9"/>
        <v>0.21428571428571427</v>
      </c>
      <c r="AD10" s="28">
        <f>SUM('Paradas Ilpea'!O40:O51)</f>
        <v>7</v>
      </c>
      <c r="AE10" s="29">
        <f t="shared" si="10"/>
        <v>0.5</v>
      </c>
      <c r="AF10" s="28">
        <f>SUM('Paradas Ilpea'!P40:P51)</f>
        <v>3</v>
      </c>
      <c r="AG10" s="29">
        <f t="shared" si="25"/>
        <v>0.21428571428571427</v>
      </c>
      <c r="AH10" s="28">
        <f>SUM('Paradas Ilpea'!Q40:Q51)</f>
        <v>1</v>
      </c>
      <c r="AI10" s="29">
        <f t="shared" si="26"/>
        <v>7.1428571428571425E-2</v>
      </c>
      <c r="AJ10" s="28">
        <f>SUM('Paradas Ilpea'!R41:R51)</f>
        <v>2</v>
      </c>
      <c r="AK10" s="29">
        <f t="shared" si="11"/>
        <v>0.14285714285714285</v>
      </c>
      <c r="AL10" s="28">
        <f>SUM('Paradas Ilpea'!S40:S51)</f>
        <v>8</v>
      </c>
      <c r="AM10" s="29">
        <f t="shared" si="12"/>
        <v>0.5714285714285714</v>
      </c>
      <c r="AN10" s="28">
        <f>SUM('Paradas Ilpea'!T40:T51)</f>
        <v>3</v>
      </c>
      <c r="AO10" s="29">
        <f t="shared" si="13"/>
        <v>0.21428571428571427</v>
      </c>
      <c r="AP10" s="28">
        <f>SUM('Paradas Ilpea'!U40:U51)</f>
        <v>1</v>
      </c>
      <c r="AQ10" s="29">
        <f t="shared" si="14"/>
        <v>7.1428571428571425E-2</v>
      </c>
      <c r="AR10" s="28">
        <f>SUM('Paradas Ilpea'!V40:V51)</f>
        <v>3</v>
      </c>
      <c r="AS10" s="29">
        <f t="shared" si="15"/>
        <v>0.21428571428571427</v>
      </c>
      <c r="AT10" s="28">
        <f>SUM('Paradas Ilpea'!W41:W49)</f>
        <v>7</v>
      </c>
      <c r="AU10" s="29">
        <f t="shared" si="16"/>
        <v>0.5</v>
      </c>
      <c r="AV10" s="28">
        <f>SUM('Paradas Ilpea'!X40:X51)</f>
        <v>3</v>
      </c>
      <c r="AW10" s="29">
        <f t="shared" si="17"/>
        <v>0.21428571428571427</v>
      </c>
      <c r="AX10" s="28">
        <f>SUM('Paradas Ilpea'!Y40:Y51)</f>
        <v>0</v>
      </c>
      <c r="AY10" s="29">
        <f t="shared" si="18"/>
        <v>0</v>
      </c>
      <c r="AZ10" s="28">
        <f>SUM('Paradas Ilpea'!Z40:Z51)</f>
        <v>0</v>
      </c>
      <c r="BA10" s="29">
        <f t="shared" si="19"/>
        <v>0</v>
      </c>
      <c r="BB10" s="28">
        <f>SUM('Paradas Ilpea'!AA40:AA51)</f>
        <v>0</v>
      </c>
      <c r="BC10" s="29">
        <f t="shared" si="20"/>
        <v>0</v>
      </c>
      <c r="BD10" s="28">
        <f>SUM('Paradas Ilpea'!AB40:AB51)</f>
        <v>0</v>
      </c>
      <c r="BE10" s="29">
        <f t="shared" si="21"/>
        <v>0</v>
      </c>
      <c r="BF10" s="15">
        <f t="shared" si="27"/>
        <v>3.1481481481481484</v>
      </c>
      <c r="BG10" s="14">
        <f t="shared" si="28"/>
        <v>0.23351648351648352</v>
      </c>
    </row>
    <row r="11" spans="1:59">
      <c r="A11" s="17">
        <v>6</v>
      </c>
      <c r="B11" s="3">
        <v>14</v>
      </c>
      <c r="C11" s="4" t="s">
        <v>37</v>
      </c>
      <c r="D11" s="7" t="s">
        <v>26</v>
      </c>
      <c r="E11" s="8" t="s">
        <v>28</v>
      </c>
      <c r="F11" s="28">
        <f>SUM('Paradas Ilpea'!C52:C54)</f>
        <v>3</v>
      </c>
      <c r="G11" s="29">
        <f t="shared" si="22"/>
        <v>0.21428571428571427</v>
      </c>
      <c r="H11" s="28">
        <f>SUM('Paradas Ilpea'!D52:D54)</f>
        <v>2</v>
      </c>
      <c r="I11" s="29">
        <f t="shared" si="23"/>
        <v>0.14285714285714285</v>
      </c>
      <c r="J11" s="28">
        <f>SUM('Paradas Ilpea'!E52:E54)</f>
        <v>0</v>
      </c>
      <c r="K11" s="29">
        <f t="shared" si="24"/>
        <v>0</v>
      </c>
      <c r="L11" s="28">
        <f>SUM('Paradas Ilpea'!F52:F54)</f>
        <v>1</v>
      </c>
      <c r="M11" s="29">
        <f t="shared" si="1"/>
        <v>7.1428571428571425E-2</v>
      </c>
      <c r="N11" s="28">
        <f>SUM('Paradas Ilpea'!G52:G54)</f>
        <v>3</v>
      </c>
      <c r="O11" s="29">
        <f t="shared" si="2"/>
        <v>0.21428571428571427</v>
      </c>
      <c r="P11" s="28">
        <f>SUM('Paradas Ilpea'!H52:H54)</f>
        <v>2</v>
      </c>
      <c r="Q11" s="67">
        <f t="shared" si="3"/>
        <v>0.14285714285714285</v>
      </c>
      <c r="R11" s="28">
        <f>SUM('Paradas Ilpea'!I52:I54)</f>
        <v>0</v>
      </c>
      <c r="S11" s="29">
        <f t="shared" si="4"/>
        <v>0</v>
      </c>
      <c r="T11" s="28">
        <f>SUM('Paradas Ilpea'!J52:J54)</f>
        <v>1</v>
      </c>
      <c r="U11" s="29">
        <f t="shared" si="5"/>
        <v>7.1428571428571425E-2</v>
      </c>
      <c r="V11" s="28">
        <f>SUM('Paradas Ilpea'!K52:K54)</f>
        <v>3</v>
      </c>
      <c r="W11" s="29">
        <f t="shared" si="6"/>
        <v>0.21428571428571427</v>
      </c>
      <c r="X11" s="28">
        <f>SUM('Paradas Ilpea'!L52:L54)</f>
        <v>1</v>
      </c>
      <c r="Y11" s="67">
        <f t="shared" si="7"/>
        <v>7.1428571428571425E-2</v>
      </c>
      <c r="Z11" s="28">
        <f>SUM('Paradas Ilpea'!M52:M54)</f>
        <v>0</v>
      </c>
      <c r="AA11" s="29">
        <f t="shared" si="8"/>
        <v>0</v>
      </c>
      <c r="AB11" s="28">
        <f>SUM('Paradas Ilpea'!N52:N54)</f>
        <v>1</v>
      </c>
      <c r="AC11" s="29">
        <f t="shared" si="9"/>
        <v>7.1428571428571425E-2</v>
      </c>
      <c r="AD11" s="28">
        <f>SUM('Paradas Ilpea'!O52:O54)</f>
        <v>3</v>
      </c>
      <c r="AE11" s="29">
        <f t="shared" si="10"/>
        <v>0.21428571428571427</v>
      </c>
      <c r="AF11" s="28">
        <f>SUM('Paradas Ilpea'!P52:P54)</f>
        <v>2</v>
      </c>
      <c r="AG11" s="29">
        <f t="shared" si="25"/>
        <v>0.14285714285714285</v>
      </c>
      <c r="AH11" s="28">
        <f>SUM('Paradas Ilpea'!Q52:Q54)</f>
        <v>0</v>
      </c>
      <c r="AI11" s="29">
        <f t="shared" si="26"/>
        <v>0</v>
      </c>
      <c r="AJ11" s="28">
        <f>SUM('Paradas Ilpea'!R52:R54)</f>
        <v>1</v>
      </c>
      <c r="AK11" s="29">
        <f t="shared" si="11"/>
        <v>7.1428571428571425E-2</v>
      </c>
      <c r="AL11" s="28">
        <f>SUM('Paradas Ilpea'!S52:S54)</f>
        <v>3</v>
      </c>
      <c r="AM11" s="29">
        <f t="shared" si="12"/>
        <v>0.21428571428571427</v>
      </c>
      <c r="AN11" s="28">
        <f>SUM('Paradas Ilpea'!T52:T54)</f>
        <v>2</v>
      </c>
      <c r="AO11" s="29">
        <f t="shared" si="13"/>
        <v>0.14285714285714285</v>
      </c>
      <c r="AP11" s="28">
        <f>SUM('Paradas Ilpea'!U52:U54)</f>
        <v>0</v>
      </c>
      <c r="AQ11" s="29">
        <f t="shared" si="14"/>
        <v>0</v>
      </c>
      <c r="AR11" s="28">
        <f>SUM('Paradas Ilpea'!V52:V54)</f>
        <v>1</v>
      </c>
      <c r="AS11" s="29">
        <f t="shared" si="15"/>
        <v>7.1428571428571425E-2</v>
      </c>
      <c r="AT11" s="28">
        <f>SUM('Paradas Ilpea'!W52:W54)</f>
        <v>0</v>
      </c>
      <c r="AU11" s="29">
        <f t="shared" si="16"/>
        <v>0</v>
      </c>
      <c r="AV11" s="28">
        <f>SUM('Paradas Ilpea'!X52:X54)</f>
        <v>0</v>
      </c>
      <c r="AW11" s="29">
        <f t="shared" si="17"/>
        <v>0</v>
      </c>
      <c r="AX11" s="28">
        <f>SUM('Paradas Ilpea'!Y52:Y54)</f>
        <v>0</v>
      </c>
      <c r="AY11" s="29">
        <f t="shared" si="18"/>
        <v>0</v>
      </c>
      <c r="AZ11" s="28">
        <f>SUM('Paradas Ilpea'!Z52:Z54)</f>
        <v>0</v>
      </c>
      <c r="BA11" s="29">
        <f t="shared" si="19"/>
        <v>0</v>
      </c>
      <c r="BB11" s="28">
        <f>SUM('Paradas Ilpea'!AA52:AA54)</f>
        <v>0</v>
      </c>
      <c r="BC11" s="29">
        <f t="shared" si="20"/>
        <v>0</v>
      </c>
      <c r="BD11" s="28">
        <f>SUM('Paradas Ilpea'!AB52:AB54)</f>
        <v>0</v>
      </c>
      <c r="BE11" s="29">
        <f t="shared" si="21"/>
        <v>0</v>
      </c>
      <c r="BF11" s="15">
        <f t="shared" si="27"/>
        <v>1.0740740740740742</v>
      </c>
      <c r="BG11" s="14">
        <f t="shared" si="28"/>
        <v>7.9670329670329637E-2</v>
      </c>
    </row>
    <row r="12" spans="1:59">
      <c r="A12" s="16">
        <v>7</v>
      </c>
      <c r="B12" s="3">
        <v>14</v>
      </c>
      <c r="C12" s="4" t="s">
        <v>37</v>
      </c>
      <c r="D12" s="5" t="s">
        <v>17</v>
      </c>
      <c r="E12" s="6" t="s">
        <v>25</v>
      </c>
      <c r="F12" s="28">
        <f>SUM('Paradas Ilpea'!C55:C65)</f>
        <v>6</v>
      </c>
      <c r="G12" s="29">
        <f t="shared" si="22"/>
        <v>0.42857142857142855</v>
      </c>
      <c r="H12" s="28">
        <f>SUM('Paradas Ilpea'!D55:D65)</f>
        <v>6</v>
      </c>
      <c r="I12" s="29">
        <f t="shared" si="23"/>
        <v>0.42857142857142855</v>
      </c>
      <c r="J12" s="28">
        <f>SUM('Paradas Ilpea'!E55:E65)</f>
        <v>0</v>
      </c>
      <c r="K12" s="29">
        <f t="shared" si="24"/>
        <v>0</v>
      </c>
      <c r="L12" s="28">
        <f>SUM('Paradas Ilpea'!F55:F65)</f>
        <v>7</v>
      </c>
      <c r="M12" s="29">
        <f t="shared" si="1"/>
        <v>0.5</v>
      </c>
      <c r="N12" s="28">
        <f>SUM('Paradas Ilpea'!G55:G65)</f>
        <v>6</v>
      </c>
      <c r="O12" s="29">
        <f t="shared" si="2"/>
        <v>0.42857142857142855</v>
      </c>
      <c r="P12" s="28">
        <f>SUM('Paradas Ilpea'!H55:H65)</f>
        <v>5</v>
      </c>
      <c r="Q12" s="67">
        <f t="shared" si="3"/>
        <v>0.35714285714285715</v>
      </c>
      <c r="R12" s="28">
        <f>SUM('Paradas Ilpea'!I55:I65)</f>
        <v>0</v>
      </c>
      <c r="S12" s="29">
        <f t="shared" si="4"/>
        <v>0</v>
      </c>
      <c r="T12" s="28">
        <f>SUM('Paradas Ilpea'!J55:J65)</f>
        <v>7</v>
      </c>
      <c r="U12" s="29">
        <f t="shared" si="5"/>
        <v>0.5</v>
      </c>
      <c r="V12" s="28">
        <f>SUM('Paradas Ilpea'!K55:K65)</f>
        <v>7</v>
      </c>
      <c r="W12" s="29">
        <f t="shared" si="6"/>
        <v>0.5</v>
      </c>
      <c r="X12" s="28">
        <f>SUM('Paradas Ilpea'!L55:L65)</f>
        <v>5</v>
      </c>
      <c r="Y12" s="67">
        <f t="shared" si="7"/>
        <v>0.35714285714285715</v>
      </c>
      <c r="Z12" s="28">
        <f>SUM('Paradas Ilpea'!M55:M65)</f>
        <v>0</v>
      </c>
      <c r="AA12" s="29">
        <f t="shared" si="8"/>
        <v>0</v>
      </c>
      <c r="AB12" s="28">
        <f>SUM('Paradas Ilpea'!N55:N65)</f>
        <v>6</v>
      </c>
      <c r="AC12" s="29">
        <f t="shared" si="9"/>
        <v>0.42857142857142855</v>
      </c>
      <c r="AD12" s="28">
        <f>SUM('Paradas Ilpea'!O55:O65)</f>
        <v>6</v>
      </c>
      <c r="AE12" s="29">
        <f t="shared" si="10"/>
        <v>0.42857142857142855</v>
      </c>
      <c r="AF12" s="28">
        <f>SUM('Paradas Ilpea'!P55:P65)</f>
        <v>5</v>
      </c>
      <c r="AG12" s="29">
        <f t="shared" si="25"/>
        <v>0.35714285714285715</v>
      </c>
      <c r="AH12" s="28">
        <f>SUM('Paradas Ilpea'!Q55:Q65)</f>
        <v>0</v>
      </c>
      <c r="AI12" s="29">
        <f t="shared" si="26"/>
        <v>0</v>
      </c>
      <c r="AJ12" s="28">
        <f>SUM('Paradas Ilpea'!R55:R65)</f>
        <v>7</v>
      </c>
      <c r="AK12" s="29">
        <f t="shared" si="11"/>
        <v>0.5</v>
      </c>
      <c r="AL12" s="28">
        <f>SUM('Paradas Ilpea'!S55:S65)</f>
        <v>7</v>
      </c>
      <c r="AM12" s="29">
        <f t="shared" si="12"/>
        <v>0.5</v>
      </c>
      <c r="AN12" s="28">
        <f>SUM('Paradas Ilpea'!T55:T65)</f>
        <v>5</v>
      </c>
      <c r="AO12" s="29">
        <f t="shared" si="13"/>
        <v>0.35714285714285715</v>
      </c>
      <c r="AP12" s="28">
        <f>SUM('Paradas Ilpea'!U55:U65)</f>
        <v>0</v>
      </c>
      <c r="AQ12" s="29">
        <f t="shared" si="14"/>
        <v>0</v>
      </c>
      <c r="AR12" s="28">
        <f>SUM('Paradas Ilpea'!V55:V65)</f>
        <v>7</v>
      </c>
      <c r="AS12" s="29">
        <f t="shared" si="15"/>
        <v>0.5</v>
      </c>
      <c r="AT12" s="28">
        <f>SUM('Paradas Ilpea'!W55:W65)</f>
        <v>6</v>
      </c>
      <c r="AU12" s="29">
        <f t="shared" si="16"/>
        <v>0.42857142857142855</v>
      </c>
      <c r="AV12" s="28">
        <f>SUM('Paradas Ilpea'!X55:X65)</f>
        <v>4</v>
      </c>
      <c r="AW12" s="29">
        <f t="shared" si="17"/>
        <v>0.2857142857142857</v>
      </c>
      <c r="AX12" s="28">
        <f>SUM('Paradas Ilpea'!Y55:Y65)</f>
        <v>0</v>
      </c>
      <c r="AY12" s="29">
        <f t="shared" si="18"/>
        <v>0</v>
      </c>
      <c r="AZ12" s="28">
        <f>SUM('Paradas Ilpea'!Z55:Z65)</f>
        <v>0</v>
      </c>
      <c r="BA12" s="29">
        <f t="shared" si="19"/>
        <v>0</v>
      </c>
      <c r="BB12" s="28">
        <f>SUM('Paradas Ilpea'!AA55:AA65)</f>
        <v>0</v>
      </c>
      <c r="BC12" s="29">
        <f t="shared" si="20"/>
        <v>0</v>
      </c>
      <c r="BD12" s="28">
        <f>SUM('Paradas Ilpea'!AB55:AB65)</f>
        <v>0</v>
      </c>
      <c r="BE12" s="29">
        <f t="shared" si="21"/>
        <v>0</v>
      </c>
      <c r="BF12" s="15">
        <f t="shared" si="27"/>
        <v>3.7777777777777777</v>
      </c>
      <c r="BG12" s="14">
        <f t="shared" si="28"/>
        <v>0.28021978021978017</v>
      </c>
    </row>
    <row r="13" spans="1:59">
      <c r="A13" s="16">
        <v>8</v>
      </c>
      <c r="B13" s="3">
        <v>37</v>
      </c>
      <c r="C13" s="4" t="s">
        <v>38</v>
      </c>
      <c r="D13" s="5" t="s">
        <v>48</v>
      </c>
      <c r="E13" s="6" t="s">
        <v>24</v>
      </c>
      <c r="F13" s="28">
        <f>SUM('Paradas Ilpea'!C66:C72)</f>
        <v>19</v>
      </c>
      <c r="G13" s="29">
        <f t="shared" si="22"/>
        <v>0.51351351351351349</v>
      </c>
      <c r="H13" s="28">
        <f>SUM('Paradas Ilpea'!D66:D72)</f>
        <v>21</v>
      </c>
      <c r="I13" s="29">
        <f t="shared" si="23"/>
        <v>0.56756756756756754</v>
      </c>
      <c r="J13" s="28">
        <f>SUM('Paradas Ilpea'!E66:E72)</f>
        <v>1</v>
      </c>
      <c r="K13" s="29">
        <f t="shared" si="24"/>
        <v>2.7027027027027029E-2</v>
      </c>
      <c r="L13" s="28">
        <f>SUM('Paradas Ilpea'!F66:F72)</f>
        <v>9</v>
      </c>
      <c r="M13" s="29">
        <f t="shared" si="1"/>
        <v>0.24324324324324326</v>
      </c>
      <c r="N13" s="28">
        <f>SUM('Paradas Ilpea'!G66:G72)</f>
        <v>19</v>
      </c>
      <c r="O13" s="29">
        <f t="shared" si="2"/>
        <v>0.51351351351351349</v>
      </c>
      <c r="P13" s="28">
        <f>SUM('Paradas Ilpea'!H66:H72)</f>
        <v>20</v>
      </c>
      <c r="Q13" s="67">
        <f t="shared" si="3"/>
        <v>0.54054054054054057</v>
      </c>
      <c r="R13" s="28">
        <f>SUM('Paradas Ilpea'!I66:I72)</f>
        <v>1</v>
      </c>
      <c r="S13" s="29">
        <f t="shared" si="4"/>
        <v>2.7027027027027029E-2</v>
      </c>
      <c r="T13" s="28">
        <f>SUM('Paradas Ilpea'!J66:J72)</f>
        <v>10</v>
      </c>
      <c r="U13" s="29">
        <f t="shared" si="5"/>
        <v>0.27027027027027029</v>
      </c>
      <c r="V13" s="28">
        <f>SUM('Paradas Ilpea'!K66:K72)</f>
        <v>19</v>
      </c>
      <c r="W13" s="29">
        <f t="shared" si="6"/>
        <v>0.51351351351351349</v>
      </c>
      <c r="X13" s="28">
        <f>SUM('Paradas Ilpea'!L66:L72)</f>
        <v>21</v>
      </c>
      <c r="Y13" s="67">
        <f t="shared" si="7"/>
        <v>0.56756756756756754</v>
      </c>
      <c r="Z13" s="28">
        <f>SUM('Paradas Ilpea'!M66:M72)</f>
        <v>1</v>
      </c>
      <c r="AA13" s="29">
        <f t="shared" si="8"/>
        <v>2.7027027027027029E-2</v>
      </c>
      <c r="AB13" s="28">
        <f>SUM('Paradas Ilpea'!N66:N72)</f>
        <v>11</v>
      </c>
      <c r="AC13" s="29">
        <f t="shared" si="9"/>
        <v>0.29729729729729731</v>
      </c>
      <c r="AD13" s="28">
        <f>SUM('Paradas Ilpea'!O66:O72)</f>
        <v>19</v>
      </c>
      <c r="AE13" s="29">
        <f t="shared" si="10"/>
        <v>0.51351351351351349</v>
      </c>
      <c r="AF13" s="28">
        <f>SUM('Paradas Ilpea'!P66:P72)</f>
        <v>21</v>
      </c>
      <c r="AG13" s="29">
        <f t="shared" si="25"/>
        <v>0.56756756756756754</v>
      </c>
      <c r="AH13" s="28">
        <f>SUM('Paradas Ilpea'!Q66:Q72)</f>
        <v>1</v>
      </c>
      <c r="AI13" s="29">
        <f t="shared" si="26"/>
        <v>2.7027027027027029E-2</v>
      </c>
      <c r="AJ13" s="28">
        <f>SUM('Paradas Ilpea'!R66:R72)</f>
        <v>11</v>
      </c>
      <c r="AK13" s="29">
        <f t="shared" si="11"/>
        <v>0.29729729729729731</v>
      </c>
      <c r="AL13" s="28">
        <f>SUM('Paradas Ilpea'!S66:S72)</f>
        <v>19</v>
      </c>
      <c r="AM13" s="29">
        <f t="shared" si="12"/>
        <v>0.51351351351351349</v>
      </c>
      <c r="AN13" s="28">
        <f>SUM('Paradas Ilpea'!T66:T72)</f>
        <v>21</v>
      </c>
      <c r="AO13" s="29">
        <f t="shared" si="13"/>
        <v>0.56756756756756754</v>
      </c>
      <c r="AP13" s="28">
        <f>SUM('Paradas Ilpea'!U66:U72)</f>
        <v>1</v>
      </c>
      <c r="AQ13" s="29">
        <f t="shared" si="14"/>
        <v>2.7027027027027029E-2</v>
      </c>
      <c r="AR13" s="28">
        <f>SUM('Paradas Ilpea'!V66:V72)</f>
        <v>11</v>
      </c>
      <c r="AS13" s="29">
        <f t="shared" si="15"/>
        <v>0.29729729729729731</v>
      </c>
      <c r="AT13" s="28">
        <f>SUM('Paradas Ilpea'!W66:W72)</f>
        <v>16</v>
      </c>
      <c r="AU13" s="29">
        <f t="shared" si="16"/>
        <v>0.43243243243243246</v>
      </c>
      <c r="AV13" s="28">
        <f>SUM('Paradas Ilpea'!X66:X72)</f>
        <v>18</v>
      </c>
      <c r="AW13" s="29">
        <f t="shared" si="17"/>
        <v>0.48648648648648651</v>
      </c>
      <c r="AX13" s="28">
        <f>SUM('Paradas Ilpea'!Y66:Y72)</f>
        <v>0</v>
      </c>
      <c r="AY13" s="29">
        <f t="shared" si="18"/>
        <v>0</v>
      </c>
      <c r="AZ13" s="28">
        <f>SUM('Paradas Ilpea'!Z66:Z72)</f>
        <v>0</v>
      </c>
      <c r="BA13" s="29">
        <f t="shared" si="19"/>
        <v>0</v>
      </c>
      <c r="BB13" s="28">
        <f>SUM('Paradas Ilpea'!AA66:AA72)</f>
        <v>0</v>
      </c>
      <c r="BC13" s="29">
        <f t="shared" si="20"/>
        <v>0</v>
      </c>
      <c r="BD13" s="28">
        <f>SUM('Paradas Ilpea'!AB66:AB72)</f>
        <v>0</v>
      </c>
      <c r="BE13" s="29">
        <f t="shared" si="21"/>
        <v>0</v>
      </c>
      <c r="BF13" s="15">
        <f t="shared" si="27"/>
        <v>10.74074074074074</v>
      </c>
      <c r="BG13" s="14">
        <f t="shared" si="28"/>
        <v>0.30145530145530147</v>
      </c>
    </row>
    <row r="14" spans="1:59">
      <c r="A14" s="16">
        <v>9</v>
      </c>
      <c r="B14" s="3">
        <v>37</v>
      </c>
      <c r="C14" s="4" t="s">
        <v>38</v>
      </c>
      <c r="D14" s="5" t="s">
        <v>18</v>
      </c>
      <c r="E14" s="6" t="s">
        <v>23</v>
      </c>
      <c r="F14" s="28">
        <f>SUM('Paradas Ilpea'!C74:C83)</f>
        <v>24</v>
      </c>
      <c r="G14" s="29">
        <f t="shared" si="22"/>
        <v>0.64864864864864868</v>
      </c>
      <c r="H14" s="28">
        <f>SUM('Paradas Ilpea'!D74:D83)</f>
        <v>9</v>
      </c>
      <c r="I14" s="29">
        <f t="shared" si="23"/>
        <v>0.24324324324324326</v>
      </c>
      <c r="J14" s="28">
        <f>SUM('Paradas Ilpea'!E74:E83)</f>
        <v>0</v>
      </c>
      <c r="K14" s="29">
        <f t="shared" si="24"/>
        <v>0</v>
      </c>
      <c r="L14" s="28">
        <f>SUM('Paradas Ilpea'!F74:F83)</f>
        <v>9</v>
      </c>
      <c r="M14" s="29">
        <f t="shared" si="1"/>
        <v>0.24324324324324326</v>
      </c>
      <c r="N14" s="28">
        <f>SUM('Paradas Ilpea'!G74:G83)</f>
        <v>25</v>
      </c>
      <c r="O14" s="29">
        <f t="shared" si="2"/>
        <v>0.67567567567567566</v>
      </c>
      <c r="P14" s="28">
        <f>SUM('Paradas Ilpea'!H74:H83)</f>
        <v>9</v>
      </c>
      <c r="Q14" s="67">
        <f t="shared" si="3"/>
        <v>0.24324324324324326</v>
      </c>
      <c r="R14" s="28">
        <f>SUM('Paradas Ilpea'!I74:I83)</f>
        <v>0</v>
      </c>
      <c r="S14" s="29">
        <f t="shared" si="4"/>
        <v>0</v>
      </c>
      <c r="T14" s="28">
        <f>SUM('Paradas Ilpea'!J74:J83)</f>
        <v>9</v>
      </c>
      <c r="U14" s="29">
        <f t="shared" si="5"/>
        <v>0.24324324324324326</v>
      </c>
      <c r="V14" s="28">
        <f>SUM('Paradas Ilpea'!K74:K83)</f>
        <v>24</v>
      </c>
      <c r="W14" s="29">
        <f t="shared" si="6"/>
        <v>0.64864864864864868</v>
      </c>
      <c r="X14" s="28">
        <f>SUM('Paradas Ilpea'!L74:L83)</f>
        <v>9</v>
      </c>
      <c r="Y14" s="67">
        <f t="shared" si="7"/>
        <v>0.24324324324324326</v>
      </c>
      <c r="Z14" s="28">
        <f>SUM('Paradas Ilpea'!M74:M83)</f>
        <v>0</v>
      </c>
      <c r="AA14" s="29">
        <f t="shared" si="8"/>
        <v>0</v>
      </c>
      <c r="AB14" s="28">
        <f>SUM('Paradas Ilpea'!N74:N83)</f>
        <v>9</v>
      </c>
      <c r="AC14" s="29">
        <f t="shared" si="9"/>
        <v>0.24324324324324326</v>
      </c>
      <c r="AD14" s="28">
        <f>SUM('Paradas Ilpea'!O74:O83)</f>
        <v>25</v>
      </c>
      <c r="AE14" s="29">
        <f t="shared" si="10"/>
        <v>0.67567567567567566</v>
      </c>
      <c r="AF14" s="28">
        <f>SUM('Paradas Ilpea'!P74:P83)</f>
        <v>9</v>
      </c>
      <c r="AG14" s="29">
        <f t="shared" si="25"/>
        <v>0.24324324324324326</v>
      </c>
      <c r="AH14" s="28">
        <f>SUM('Paradas Ilpea'!Q74:Q83)</f>
        <v>0</v>
      </c>
      <c r="AI14" s="29">
        <f t="shared" si="26"/>
        <v>0</v>
      </c>
      <c r="AJ14" s="28">
        <f>SUM('Paradas Ilpea'!R74:R83)</f>
        <v>9</v>
      </c>
      <c r="AK14" s="29">
        <f t="shared" si="11"/>
        <v>0.24324324324324326</v>
      </c>
      <c r="AL14" s="28">
        <f>SUM('Paradas Ilpea'!S74:S83)</f>
        <v>25</v>
      </c>
      <c r="AM14" s="29">
        <f t="shared" si="12"/>
        <v>0.67567567567567566</v>
      </c>
      <c r="AN14" s="28">
        <f>SUM('Paradas Ilpea'!T74:T83)</f>
        <v>9</v>
      </c>
      <c r="AO14" s="29">
        <f t="shared" si="13"/>
        <v>0.24324324324324326</v>
      </c>
      <c r="AP14" s="28">
        <f>SUM('Paradas Ilpea'!U74:U83)</f>
        <v>0</v>
      </c>
      <c r="AQ14" s="29">
        <f t="shared" si="14"/>
        <v>0</v>
      </c>
      <c r="AR14" s="28">
        <f>SUM('Paradas Ilpea'!V74:V83)</f>
        <v>9</v>
      </c>
      <c r="AS14" s="29">
        <f t="shared" si="15"/>
        <v>0.24324324324324326</v>
      </c>
      <c r="AT14" s="28">
        <f>SUM('Paradas Ilpea'!W74:W83)</f>
        <v>12</v>
      </c>
      <c r="AU14" s="29">
        <f t="shared" si="16"/>
        <v>0.32432432432432434</v>
      </c>
      <c r="AV14" s="28">
        <f>SUM('Paradas Ilpea'!X74:X83)</f>
        <v>7</v>
      </c>
      <c r="AW14" s="29">
        <f t="shared" si="17"/>
        <v>0.1891891891891892</v>
      </c>
      <c r="AX14" s="28">
        <f>SUM('Paradas Ilpea'!Y74:Y83)</f>
        <v>0</v>
      </c>
      <c r="AY14" s="29">
        <f t="shared" si="18"/>
        <v>0</v>
      </c>
      <c r="AZ14" s="28">
        <f>SUM('Paradas Ilpea'!Z74:Z83)</f>
        <v>0</v>
      </c>
      <c r="BA14" s="29">
        <f t="shared" si="19"/>
        <v>0</v>
      </c>
      <c r="BB14" s="28">
        <f>SUM('Paradas Ilpea'!AA74:AA83)</f>
        <v>0</v>
      </c>
      <c r="BC14" s="29">
        <f t="shared" si="20"/>
        <v>0</v>
      </c>
      <c r="BD14" s="28">
        <f>SUM('Paradas Ilpea'!AB74:AB83)</f>
        <v>0</v>
      </c>
      <c r="BE14" s="29">
        <f t="shared" si="21"/>
        <v>0</v>
      </c>
      <c r="BF14" s="15">
        <f t="shared" si="27"/>
        <v>8.5925925925925934</v>
      </c>
      <c r="BG14" s="14">
        <f t="shared" si="28"/>
        <v>0.24116424116424115</v>
      </c>
    </row>
    <row r="15" spans="1:59">
      <c r="A15" s="16">
        <v>10</v>
      </c>
      <c r="B15" s="3">
        <v>13</v>
      </c>
      <c r="C15" s="4" t="s">
        <v>45</v>
      </c>
      <c r="D15" s="5" t="s">
        <v>43</v>
      </c>
      <c r="E15" s="6" t="s">
        <v>44</v>
      </c>
      <c r="F15" s="28">
        <f>SUM('Paradas Ilpea'!C84:C90)</f>
        <v>10</v>
      </c>
      <c r="G15" s="29">
        <f t="shared" ref="G15" si="29">F15/B15</f>
        <v>0.76923076923076927</v>
      </c>
      <c r="H15" s="28">
        <f>SUM('Paradas Ilpea'!D84:D90)</f>
        <v>7</v>
      </c>
      <c r="I15" s="29">
        <f t="shared" si="23"/>
        <v>0.53846153846153844</v>
      </c>
      <c r="J15" s="28">
        <f>SUM('Paradas Ilpea'!E84:E90)</f>
        <v>0</v>
      </c>
      <c r="K15" s="29">
        <f t="shared" si="24"/>
        <v>0</v>
      </c>
      <c r="L15" s="28">
        <f>SUM('Paradas Ilpea'!F84:F90)</f>
        <v>5</v>
      </c>
      <c r="M15" s="29">
        <f t="shared" si="1"/>
        <v>0.38461538461538464</v>
      </c>
      <c r="N15" s="28">
        <f>SUM('Paradas Ilpea'!G84:G90)</f>
        <v>14</v>
      </c>
      <c r="O15" s="29">
        <f t="shared" si="2"/>
        <v>1.0769230769230769</v>
      </c>
      <c r="P15" s="28">
        <f>SUM('Paradas Ilpea'!H84:H90)</f>
        <v>7</v>
      </c>
      <c r="Q15" s="67">
        <f t="shared" si="3"/>
        <v>0.53846153846153844</v>
      </c>
      <c r="R15" s="28">
        <f>SUM('Paradas Ilpea'!I84:I90)</f>
        <v>0</v>
      </c>
      <c r="S15" s="29">
        <f t="shared" si="4"/>
        <v>0</v>
      </c>
      <c r="T15" s="28">
        <f>SUM('Paradas Ilpea'!J84:J90)</f>
        <v>5</v>
      </c>
      <c r="U15" s="29">
        <f t="shared" si="5"/>
        <v>0.38461538461538464</v>
      </c>
      <c r="V15" s="28">
        <f>SUM('Paradas Ilpea'!K84:K90)</f>
        <v>10</v>
      </c>
      <c r="W15" s="29">
        <f t="shared" si="6"/>
        <v>0.76923076923076927</v>
      </c>
      <c r="X15" s="28">
        <f>SUM('Paradas Ilpea'!L84:L90)</f>
        <v>7</v>
      </c>
      <c r="Y15" s="67">
        <f t="shared" si="7"/>
        <v>0.53846153846153844</v>
      </c>
      <c r="Z15" s="28">
        <f>SUM('Paradas Ilpea'!M84:M90)</f>
        <v>0</v>
      </c>
      <c r="AA15" s="29">
        <f t="shared" si="8"/>
        <v>0</v>
      </c>
      <c r="AB15" s="28">
        <f>SUM('Paradas Ilpea'!N84:N90)</f>
        <v>4</v>
      </c>
      <c r="AC15" s="29">
        <f t="shared" si="9"/>
        <v>0.30769230769230771</v>
      </c>
      <c r="AD15" s="28">
        <f>SUM('Paradas Ilpea'!O84:O90)</f>
        <v>13</v>
      </c>
      <c r="AE15" s="29">
        <f t="shared" si="10"/>
        <v>1</v>
      </c>
      <c r="AF15" s="28">
        <f>SUM('Paradas Ilpea'!P84:P90)</f>
        <v>7</v>
      </c>
      <c r="AG15" s="29">
        <f t="shared" si="25"/>
        <v>0.53846153846153844</v>
      </c>
      <c r="AH15" s="28">
        <f>SUM('Paradas Ilpea'!Q84:Q90)</f>
        <v>0</v>
      </c>
      <c r="AI15" s="29">
        <f t="shared" si="26"/>
        <v>0</v>
      </c>
      <c r="AJ15" s="28">
        <f>SUM('Paradas Ilpea'!R84:R90)</f>
        <v>5</v>
      </c>
      <c r="AK15" s="29">
        <f t="shared" si="11"/>
        <v>0.38461538461538464</v>
      </c>
      <c r="AL15" s="28">
        <f>SUM('Paradas Ilpea'!S84:S90)</f>
        <v>13</v>
      </c>
      <c r="AM15" s="29">
        <f t="shared" si="12"/>
        <v>1</v>
      </c>
      <c r="AN15" s="28">
        <f>SUM('Paradas Ilpea'!T84:T95)</f>
        <v>6</v>
      </c>
      <c r="AO15" s="29">
        <f t="shared" si="13"/>
        <v>0.46153846153846156</v>
      </c>
      <c r="AP15" s="28">
        <f>SUM('Paradas Ilpea'!U84:U95)</f>
        <v>0</v>
      </c>
      <c r="AQ15" s="29">
        <f t="shared" si="14"/>
        <v>0</v>
      </c>
      <c r="AR15" s="28">
        <f>SUM('Paradas Ilpea'!V84:V90)</f>
        <v>5</v>
      </c>
      <c r="AS15" s="29">
        <f t="shared" si="15"/>
        <v>0.38461538461538464</v>
      </c>
      <c r="AT15" s="28">
        <f>SUM('Paradas Ilpea'!W84:W90)</f>
        <v>12</v>
      </c>
      <c r="AU15" s="29">
        <f t="shared" si="16"/>
        <v>0.92307692307692313</v>
      </c>
      <c r="AV15" s="28">
        <f>SUM('Paradas Ilpea'!X84:X90)</f>
        <v>8</v>
      </c>
      <c r="AW15" s="29">
        <f t="shared" si="17"/>
        <v>0.61538461538461542</v>
      </c>
      <c r="AX15" s="28">
        <f>SUM('Paradas Ilpea'!Y84:Y90)</f>
        <v>0</v>
      </c>
      <c r="AY15" s="29">
        <f t="shared" si="18"/>
        <v>0</v>
      </c>
      <c r="AZ15" s="28">
        <f>SUM('Paradas Ilpea'!Z84:Z90)</f>
        <v>0</v>
      </c>
      <c r="BA15" s="29">
        <f t="shared" si="19"/>
        <v>0</v>
      </c>
      <c r="BB15" s="28">
        <f>SUM('Paradas Ilpea'!AA84:AA90)</f>
        <v>0</v>
      </c>
      <c r="BC15" s="29">
        <f t="shared" si="20"/>
        <v>0</v>
      </c>
      <c r="BD15" s="28">
        <f>SUM('Paradas Ilpea'!AB84:AB90)</f>
        <v>0</v>
      </c>
      <c r="BE15" s="29">
        <f t="shared" si="21"/>
        <v>0</v>
      </c>
      <c r="BF15" s="15">
        <f t="shared" si="27"/>
        <v>5.1111111111111107</v>
      </c>
      <c r="BG15" s="14">
        <f t="shared" si="28"/>
        <v>0.40828402366863903</v>
      </c>
    </row>
    <row r="16" spans="1:59">
      <c r="A16" s="58">
        <v>14</v>
      </c>
      <c r="B16" s="59">
        <v>13</v>
      </c>
      <c r="C16" s="60" t="s">
        <v>45</v>
      </c>
      <c r="D16" s="61" t="s">
        <v>46</v>
      </c>
      <c r="E16" s="62" t="s">
        <v>47</v>
      </c>
      <c r="F16" s="63">
        <f>SUM('Paradas Ilpea'!C91:C101)</f>
        <v>3</v>
      </c>
      <c r="G16" s="64">
        <f t="shared" ref="G16" si="30">F16/B16</f>
        <v>0.23076923076923078</v>
      </c>
      <c r="H16" s="63">
        <f>SUM('Paradas Ilpea'!D91:D101)</f>
        <v>3</v>
      </c>
      <c r="I16" s="29">
        <f t="shared" si="23"/>
        <v>0.23076923076923078</v>
      </c>
      <c r="J16" s="63">
        <f>SUM('Paradas Ilpea'!E91:E101)</f>
        <v>0</v>
      </c>
      <c r="K16" s="29">
        <f t="shared" si="24"/>
        <v>0</v>
      </c>
      <c r="L16" s="63">
        <f>SUM('Paradas Ilpea'!F91:F101)</f>
        <v>4</v>
      </c>
      <c r="M16" s="64">
        <f t="shared" si="1"/>
        <v>0.30769230769230771</v>
      </c>
      <c r="N16" s="63">
        <f>SUM('Paradas Ilpea'!G91:G101)</f>
        <v>1</v>
      </c>
      <c r="O16" s="64">
        <f t="shared" si="2"/>
        <v>7.6923076923076927E-2</v>
      </c>
      <c r="P16" s="63">
        <f>SUM('Paradas Ilpea'!H91:H101)</f>
        <v>2</v>
      </c>
      <c r="Q16" s="67">
        <f t="shared" si="3"/>
        <v>0.15384615384615385</v>
      </c>
      <c r="R16" s="63">
        <f>SUM('Paradas Ilpea'!I91:I101)</f>
        <v>0</v>
      </c>
      <c r="S16" s="64">
        <f t="shared" si="4"/>
        <v>0</v>
      </c>
      <c r="T16" s="63">
        <f>SUM('Paradas Ilpea'!J91:J101)</f>
        <v>0</v>
      </c>
      <c r="U16" s="64">
        <f t="shared" si="5"/>
        <v>0</v>
      </c>
      <c r="V16" s="63">
        <f>SUM('Paradas Ilpea'!K91:K101)</f>
        <v>2</v>
      </c>
      <c r="W16" s="64">
        <f t="shared" si="6"/>
        <v>0.15384615384615385</v>
      </c>
      <c r="X16" s="63">
        <f>SUM('Paradas Ilpea'!L91:L101)</f>
        <v>2</v>
      </c>
      <c r="Y16" s="67">
        <f t="shared" si="7"/>
        <v>0.15384615384615385</v>
      </c>
      <c r="Z16" s="63">
        <f>SUM('Paradas Ilpea'!M91:M101)</f>
        <v>0</v>
      </c>
      <c r="AA16" s="64">
        <f t="shared" si="8"/>
        <v>0</v>
      </c>
      <c r="AB16" s="63">
        <f>SUM('Paradas Ilpea'!N91:N101)</f>
        <v>0</v>
      </c>
      <c r="AC16" s="64">
        <f t="shared" si="9"/>
        <v>0</v>
      </c>
      <c r="AD16" s="63">
        <f>SUM('Paradas Ilpea'!O91:O101)</f>
        <v>3</v>
      </c>
      <c r="AE16" s="64">
        <f t="shared" si="10"/>
        <v>0.23076923076923078</v>
      </c>
      <c r="AF16" s="63">
        <f>SUM('Paradas Ilpea'!P91:P101)</f>
        <v>2</v>
      </c>
      <c r="AG16" s="29">
        <f t="shared" si="25"/>
        <v>0.15384615384615385</v>
      </c>
      <c r="AH16" s="63">
        <f>SUM('Paradas Ilpea'!Q91:Q101)</f>
        <v>0</v>
      </c>
      <c r="AI16" s="29">
        <f t="shared" si="26"/>
        <v>0</v>
      </c>
      <c r="AJ16" s="63">
        <f>SUM('Paradas Ilpea'!R91:R101)</f>
        <v>0</v>
      </c>
      <c r="AK16" s="64">
        <f t="shared" si="11"/>
        <v>0</v>
      </c>
      <c r="AL16" s="63">
        <f>SUM('Paradas Ilpea'!S91:S101)</f>
        <v>2</v>
      </c>
      <c r="AM16" s="64">
        <f t="shared" si="12"/>
        <v>0.15384615384615385</v>
      </c>
      <c r="AN16" s="63">
        <f>SUM('Paradas Ilpea'!T96:T101)</f>
        <v>1</v>
      </c>
      <c r="AO16" s="29">
        <f t="shared" si="13"/>
        <v>7.6923076923076927E-2</v>
      </c>
      <c r="AP16" s="63">
        <f>SUM('Paradas Ilpea'!U96:U101)</f>
        <v>0</v>
      </c>
      <c r="AQ16" s="64">
        <f t="shared" si="14"/>
        <v>0</v>
      </c>
      <c r="AR16" s="63">
        <f>SUM('Paradas Ilpea'!V91:V101)</f>
        <v>0</v>
      </c>
      <c r="AS16" s="64">
        <f t="shared" si="15"/>
        <v>0</v>
      </c>
      <c r="AT16" s="63">
        <f>SUM('Paradas Ilpea'!W91:W101)</f>
        <v>1</v>
      </c>
      <c r="AU16" s="64">
        <f t="shared" si="16"/>
        <v>7.6923076923076927E-2</v>
      </c>
      <c r="AV16" s="63">
        <f>SUM('Paradas Ilpea'!X91:X101)</f>
        <v>2</v>
      </c>
      <c r="AW16" s="29">
        <f t="shared" si="17"/>
        <v>0.15384615384615385</v>
      </c>
      <c r="AX16" s="63">
        <f>SUM('Paradas Ilpea'!Y91:Y101)</f>
        <v>0</v>
      </c>
      <c r="AY16" s="29">
        <f t="shared" si="18"/>
        <v>0</v>
      </c>
      <c r="AZ16" s="63">
        <f>SUM('Paradas Ilpea'!Z91:Z101)</f>
        <v>0</v>
      </c>
      <c r="BA16" s="29">
        <f t="shared" si="19"/>
        <v>0</v>
      </c>
      <c r="BB16" s="63">
        <f>SUM('Paradas Ilpea'!AA91:AA101)</f>
        <v>0</v>
      </c>
      <c r="BC16" s="29">
        <f t="shared" si="20"/>
        <v>0</v>
      </c>
      <c r="BD16" s="63">
        <f>SUM('Paradas Ilpea'!AB91:AB101)</f>
        <v>0</v>
      </c>
      <c r="BE16" s="29">
        <f t="shared" si="21"/>
        <v>0</v>
      </c>
      <c r="BF16" s="15">
        <f t="shared" si="27"/>
        <v>1.037037037037037</v>
      </c>
      <c r="BG16" s="14">
        <f t="shared" si="28"/>
        <v>8.2840236686390512E-2</v>
      </c>
    </row>
    <row r="36" ht="12" customHeight="1"/>
  </sheetData>
  <autoFilter ref="A4:E14" xr:uid="{00000000-0009-0000-0000-000002000000}"/>
  <mergeCells count="46">
    <mergeCell ref="D4:D6"/>
    <mergeCell ref="C4:C6"/>
    <mergeCell ref="A4:A6"/>
    <mergeCell ref="B4:B6"/>
    <mergeCell ref="N5:O5"/>
    <mergeCell ref="F5:G5"/>
    <mergeCell ref="R5:S5"/>
    <mergeCell ref="T5:U5"/>
    <mergeCell ref="E4:E6"/>
    <mergeCell ref="L5:M5"/>
    <mergeCell ref="J5:K5"/>
    <mergeCell ref="N4:U4"/>
    <mergeCell ref="H5:I5"/>
    <mergeCell ref="BF3:BG5"/>
    <mergeCell ref="N3:U3"/>
    <mergeCell ref="F4:M4"/>
    <mergeCell ref="V3:AC3"/>
    <mergeCell ref="V4:AC4"/>
    <mergeCell ref="AD3:AK3"/>
    <mergeCell ref="AD4:AK4"/>
    <mergeCell ref="AL3:AS3"/>
    <mergeCell ref="AL4:AS4"/>
    <mergeCell ref="Z5:AA5"/>
    <mergeCell ref="AB5:AC5"/>
    <mergeCell ref="AD5:AE5"/>
    <mergeCell ref="AF5:AG5"/>
    <mergeCell ref="AL5:AM5"/>
    <mergeCell ref="F3:M3"/>
    <mergeCell ref="P5:Q5"/>
    <mergeCell ref="AT3:AX3"/>
    <mergeCell ref="AT4:AX4"/>
    <mergeCell ref="AZ3:BD3"/>
    <mergeCell ref="AZ4:BD4"/>
    <mergeCell ref="AP5:AQ5"/>
    <mergeCell ref="AR5:AS5"/>
    <mergeCell ref="AX5:AY5"/>
    <mergeCell ref="AZ5:BA5"/>
    <mergeCell ref="BB5:BC5"/>
    <mergeCell ref="BD5:BE5"/>
    <mergeCell ref="AV5:AW5"/>
    <mergeCell ref="V5:W5"/>
    <mergeCell ref="X5:Y5"/>
    <mergeCell ref="AN5:AO5"/>
    <mergeCell ref="AJ5:AK5"/>
    <mergeCell ref="AT5:AU5"/>
    <mergeCell ref="AH5:AI5"/>
  </mergeCells>
  <conditionalFormatting sqref="G7:G16 M7:M16 O7:O16 S7:S16 U7:U16 W7:W16 AA7:AA16 AC7:AC16 AE7:AE16 AI7:AI16 AK7:AK16 AM7:AM16 AQ7:AQ16 AS7:AS16 AU7:AU16 BG7:BG16 I7:I16 K7:K16 AG7:AG16 AO7:AO16 AW7:AW16 AY7:AY16 BA7:BA16 BC7:BC16 BE7:BE16">
    <cfRule type="cellIs" dxfId="3" priority="37" operator="between">
      <formula>0.97</formula>
      <formula>1</formula>
    </cfRule>
    <cfRule type="cellIs" dxfId="2" priority="38" operator="greaterThan">
      <formula>1</formula>
    </cfRule>
    <cfRule type="cellIs" dxfId="1" priority="39" operator="between">
      <formula>0.86</formula>
      <formula>0.999</formula>
    </cfRule>
    <cfRule type="cellIs" dxfId="0" priority="40" operator="between">
      <formula>1</formula>
      <formula>1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AE846-177F-488F-B44E-000EA6495FCA}">
  <sheetPr codeName="Hoja5"/>
  <dimension ref="A1:L41"/>
  <sheetViews>
    <sheetView topLeftCell="A9" zoomScale="96" workbookViewId="0">
      <selection activeCell="C29" sqref="C29"/>
    </sheetView>
  </sheetViews>
  <sheetFormatPr baseColWidth="10" defaultRowHeight="14.4"/>
  <cols>
    <col min="3" max="8" width="11.77734375" bestFit="1" customWidth="1"/>
  </cols>
  <sheetData>
    <row r="1" spans="1:12">
      <c r="A1" s="47"/>
      <c r="B1" s="47"/>
      <c r="C1" s="47"/>
      <c r="D1" s="47"/>
      <c r="E1" s="47"/>
      <c r="F1" s="47"/>
      <c r="G1" s="47"/>
      <c r="H1" s="47"/>
      <c r="I1" s="47"/>
      <c r="J1" s="47"/>
    </row>
    <row r="2" spans="1:12" ht="15.6">
      <c r="B2" s="48"/>
      <c r="C2" s="48"/>
      <c r="D2" s="48"/>
      <c r="E2" s="48"/>
      <c r="F2" s="48"/>
      <c r="G2" s="48"/>
      <c r="H2" s="48"/>
      <c r="I2" s="47"/>
      <c r="J2" s="47"/>
    </row>
    <row r="3" spans="1:12" ht="15.6">
      <c r="A3" s="102" t="s">
        <v>3</v>
      </c>
      <c r="B3" s="103" t="s">
        <v>40</v>
      </c>
      <c r="C3" s="49">
        <v>46090</v>
      </c>
      <c r="D3" s="49">
        <f>C3+1</f>
        <v>46091</v>
      </c>
      <c r="E3" s="49">
        <f>D3+1</f>
        <v>46092</v>
      </c>
      <c r="F3" s="49">
        <f>E3+1</f>
        <v>46093</v>
      </c>
      <c r="G3" s="49">
        <f>F3+1</f>
        <v>46094</v>
      </c>
      <c r="H3" s="49">
        <f>G3+1</f>
        <v>46095</v>
      </c>
      <c r="I3" s="47"/>
      <c r="J3" s="47"/>
    </row>
    <row r="4" spans="1:12" ht="15.6">
      <c r="A4" s="102"/>
      <c r="B4" s="103"/>
      <c r="C4" s="50" t="s">
        <v>41</v>
      </c>
      <c r="D4" s="50" t="s">
        <v>41</v>
      </c>
      <c r="E4" s="50" t="s">
        <v>41</v>
      </c>
      <c r="F4" s="50" t="s">
        <v>41</v>
      </c>
      <c r="G4" s="50" t="s">
        <v>41</v>
      </c>
      <c r="H4" s="50" t="s">
        <v>41</v>
      </c>
      <c r="I4" s="47"/>
      <c r="J4" s="47"/>
    </row>
    <row r="5" spans="1:12" ht="15.6">
      <c r="A5" s="55">
        <v>5</v>
      </c>
      <c r="B5" s="55">
        <v>1</v>
      </c>
      <c r="C5" s="55">
        <v>1</v>
      </c>
      <c r="D5" s="55">
        <v>1</v>
      </c>
      <c r="E5" s="55">
        <v>1</v>
      </c>
      <c r="F5" s="55">
        <v>1</v>
      </c>
      <c r="G5" s="55">
        <v>1</v>
      </c>
      <c r="H5" s="55"/>
      <c r="I5" s="47"/>
      <c r="J5" s="47"/>
    </row>
    <row r="6" spans="1:12" ht="15.6">
      <c r="A6" s="55">
        <v>5</v>
      </c>
      <c r="B6" s="55">
        <v>2</v>
      </c>
      <c r="C6" s="55">
        <v>1</v>
      </c>
      <c r="D6" s="55">
        <v>1</v>
      </c>
      <c r="E6" s="55">
        <v>1</v>
      </c>
      <c r="F6" s="55">
        <v>1</v>
      </c>
      <c r="G6" s="55">
        <v>1</v>
      </c>
      <c r="H6" s="55"/>
      <c r="I6" s="47"/>
      <c r="J6" s="47"/>
    </row>
    <row r="7" spans="1:12" ht="15.6">
      <c r="A7" s="55">
        <v>5</v>
      </c>
      <c r="B7" s="55">
        <v>3</v>
      </c>
      <c r="C7" s="55">
        <v>1</v>
      </c>
      <c r="D7" s="55">
        <v>1</v>
      </c>
      <c r="E7" s="55">
        <v>1</v>
      </c>
      <c r="F7" s="55">
        <v>1</v>
      </c>
      <c r="G7" s="55">
        <v>1</v>
      </c>
      <c r="H7" s="55"/>
      <c r="I7" s="47"/>
      <c r="J7" s="47"/>
    </row>
    <row r="8" spans="1:12" ht="15.6">
      <c r="A8" s="55">
        <v>5</v>
      </c>
      <c r="B8" s="55">
        <v>4</v>
      </c>
      <c r="C8" s="55">
        <v>2</v>
      </c>
      <c r="D8" s="55">
        <v>2</v>
      </c>
      <c r="E8" s="55">
        <v>2</v>
      </c>
      <c r="F8" s="55">
        <v>2</v>
      </c>
      <c r="G8" s="55">
        <v>2</v>
      </c>
      <c r="H8" s="55"/>
      <c r="I8" s="47"/>
      <c r="J8" s="47"/>
    </row>
    <row r="9" spans="1:12" ht="15.6">
      <c r="A9" s="55">
        <v>5</v>
      </c>
      <c r="B9" s="55">
        <v>5</v>
      </c>
      <c r="C9" s="55">
        <v>1</v>
      </c>
      <c r="D9" s="55">
        <v>1</v>
      </c>
      <c r="E9" s="55">
        <v>1</v>
      </c>
      <c r="F9" s="55">
        <v>1</v>
      </c>
      <c r="G9" s="55">
        <v>1</v>
      </c>
      <c r="H9" s="55"/>
      <c r="I9" s="47"/>
      <c r="J9" s="47"/>
      <c r="L9" s="70">
        <v>14</v>
      </c>
    </row>
    <row r="10" spans="1:12" ht="15.6">
      <c r="A10" s="55">
        <v>5</v>
      </c>
      <c r="B10" s="55">
        <v>6</v>
      </c>
      <c r="C10" s="55">
        <v>1</v>
      </c>
      <c r="D10" s="55">
        <v>1</v>
      </c>
      <c r="E10" s="55">
        <v>1</v>
      </c>
      <c r="F10" s="55">
        <v>1</v>
      </c>
      <c r="G10" s="55">
        <v>1</v>
      </c>
      <c r="H10" s="55"/>
      <c r="I10" s="47"/>
      <c r="J10" s="47"/>
    </row>
    <row r="11" spans="1:12" ht="15.6">
      <c r="B11" s="52"/>
      <c r="C11" s="52">
        <f>SUM(C5:C10)</f>
        <v>7</v>
      </c>
      <c r="D11" s="52">
        <v>0</v>
      </c>
      <c r="E11" s="52">
        <f>SUM(E5:E10)</f>
        <v>7</v>
      </c>
      <c r="F11" s="52">
        <f>SUM(F5:F10)</f>
        <v>7</v>
      </c>
      <c r="G11" s="52">
        <f>SUM(G5:G10)</f>
        <v>7</v>
      </c>
      <c r="H11" s="52">
        <f>SUM(H5:H10)</f>
        <v>0</v>
      </c>
      <c r="I11" s="47"/>
      <c r="J11" s="47"/>
    </row>
    <row r="12" spans="1:12" ht="15.6">
      <c r="A12" s="104" t="s">
        <v>42</v>
      </c>
      <c r="B12" s="104"/>
      <c r="C12" s="53">
        <f>C11/L9</f>
        <v>0.5</v>
      </c>
      <c r="D12" s="53">
        <f>D11/L9</f>
        <v>0</v>
      </c>
      <c r="E12" s="53">
        <f>E11/L9</f>
        <v>0.5</v>
      </c>
      <c r="F12" s="53">
        <f>F11/L9</f>
        <v>0.5</v>
      </c>
      <c r="G12" s="53">
        <f>G11/L9</f>
        <v>0.5</v>
      </c>
      <c r="H12" s="52"/>
      <c r="I12" s="47"/>
      <c r="J12" s="47"/>
    </row>
    <row r="13" spans="1:12" ht="15.6">
      <c r="A13" s="71"/>
      <c r="B13" s="72"/>
      <c r="C13" s="73"/>
      <c r="D13" s="73"/>
      <c r="E13" s="73"/>
      <c r="F13" s="73"/>
      <c r="G13" s="73"/>
      <c r="H13" s="73"/>
      <c r="I13" s="47"/>
      <c r="J13" s="47"/>
    </row>
    <row r="14" spans="1:12" ht="15.6">
      <c r="A14" s="55">
        <v>11</v>
      </c>
      <c r="B14" s="55">
        <v>1</v>
      </c>
      <c r="C14" s="55">
        <v>4</v>
      </c>
      <c r="D14" s="55">
        <v>4</v>
      </c>
      <c r="E14" s="55">
        <v>4</v>
      </c>
      <c r="F14" s="55">
        <v>4</v>
      </c>
      <c r="G14" s="55">
        <v>4</v>
      </c>
      <c r="H14" s="55"/>
      <c r="I14" s="47"/>
      <c r="J14" s="47"/>
    </row>
    <row r="15" spans="1:12" ht="15.6">
      <c r="A15" s="55">
        <v>11</v>
      </c>
      <c r="B15" s="55">
        <v>2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/>
      <c r="I15" s="47"/>
      <c r="J15" s="47"/>
    </row>
    <row r="16" spans="1:12" ht="15.6">
      <c r="A16" s="55">
        <v>11</v>
      </c>
      <c r="B16" s="55">
        <v>3</v>
      </c>
      <c r="C16" s="55">
        <v>1</v>
      </c>
      <c r="D16" s="55">
        <v>1</v>
      </c>
      <c r="E16" s="55">
        <v>1</v>
      </c>
      <c r="F16" s="55">
        <v>1</v>
      </c>
      <c r="G16" s="55">
        <v>1</v>
      </c>
      <c r="H16" s="55"/>
      <c r="I16" s="47"/>
      <c r="J16" s="47"/>
    </row>
    <row r="17" spans="1:12" ht="15.6">
      <c r="A17" s="55">
        <v>11</v>
      </c>
      <c r="B17" s="55">
        <v>4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/>
      <c r="I17" s="47"/>
      <c r="J17" s="47"/>
    </row>
    <row r="18" spans="1:12" ht="15.6">
      <c r="A18" s="55">
        <v>11</v>
      </c>
      <c r="B18" s="55">
        <v>5</v>
      </c>
      <c r="C18" s="55">
        <v>1</v>
      </c>
      <c r="D18" s="55">
        <v>1</v>
      </c>
      <c r="E18" s="55">
        <v>1</v>
      </c>
      <c r="F18" s="55">
        <v>1</v>
      </c>
      <c r="G18" s="55">
        <v>1</v>
      </c>
      <c r="H18" s="55"/>
      <c r="I18" s="47"/>
      <c r="J18" s="47"/>
      <c r="L18" s="51">
        <v>14</v>
      </c>
    </row>
    <row r="19" spans="1:12" ht="15.6">
      <c r="A19" s="55">
        <v>11</v>
      </c>
      <c r="B19" s="55">
        <v>6</v>
      </c>
      <c r="C19" s="55">
        <v>3</v>
      </c>
      <c r="D19" s="55">
        <v>3</v>
      </c>
      <c r="E19" s="55">
        <v>3</v>
      </c>
      <c r="F19" s="55">
        <v>3</v>
      </c>
      <c r="G19" s="55">
        <v>3</v>
      </c>
      <c r="H19" s="55"/>
      <c r="I19" s="47"/>
      <c r="J19" s="47"/>
      <c r="L19" s="51"/>
    </row>
    <row r="20" spans="1:12" ht="15.6">
      <c r="A20" s="55">
        <v>11</v>
      </c>
      <c r="B20" s="55">
        <v>7</v>
      </c>
      <c r="C20" s="55">
        <v>1</v>
      </c>
      <c r="D20" s="55">
        <v>1</v>
      </c>
      <c r="E20" s="55">
        <v>1</v>
      </c>
      <c r="F20" s="55">
        <v>1</v>
      </c>
      <c r="G20" s="55">
        <v>1</v>
      </c>
      <c r="H20" s="55"/>
      <c r="I20" s="47"/>
      <c r="J20" s="47"/>
      <c r="L20" s="51"/>
    </row>
    <row r="21" spans="1:12" ht="15.6">
      <c r="B21" s="52"/>
      <c r="C21" s="52">
        <f t="shared" ref="C21:H21" si="0">SUM(C14:C20)</f>
        <v>10</v>
      </c>
      <c r="D21" s="52">
        <v>0</v>
      </c>
      <c r="E21" s="52">
        <f>SUM(E14:E20)</f>
        <v>10</v>
      </c>
      <c r="F21" s="52">
        <f>SUM(F14:F20)</f>
        <v>10</v>
      </c>
      <c r="G21" s="52">
        <f t="shared" si="0"/>
        <v>10</v>
      </c>
      <c r="H21" s="52">
        <f t="shared" si="0"/>
        <v>0</v>
      </c>
      <c r="I21" s="47"/>
      <c r="J21" s="47"/>
    </row>
    <row r="22" spans="1:12" ht="15.6">
      <c r="A22" s="104" t="s">
        <v>42</v>
      </c>
      <c r="B22" s="104"/>
      <c r="C22" s="53">
        <f>C21/L18</f>
        <v>0.7142857142857143</v>
      </c>
      <c r="D22" s="53">
        <f>D21/L18</f>
        <v>0</v>
      </c>
      <c r="E22" s="53">
        <f>E21/L18</f>
        <v>0.7142857142857143</v>
      </c>
      <c r="F22" s="53">
        <f>F21/L18</f>
        <v>0.7142857142857143</v>
      </c>
      <c r="G22" s="53">
        <f>G21/L18</f>
        <v>0.7142857142857143</v>
      </c>
      <c r="H22" s="52"/>
      <c r="I22" s="47"/>
      <c r="J22" s="47"/>
    </row>
    <row r="23" spans="1:12" ht="15.6">
      <c r="A23" s="54">
        <v>12</v>
      </c>
      <c r="B23" s="54">
        <v>1</v>
      </c>
      <c r="C23" s="54">
        <v>3</v>
      </c>
      <c r="D23" s="54">
        <v>3</v>
      </c>
      <c r="E23" s="54">
        <v>3</v>
      </c>
      <c r="F23" s="54">
        <v>3</v>
      </c>
      <c r="G23" s="54">
        <v>3</v>
      </c>
      <c r="H23" s="54"/>
      <c r="I23" s="47"/>
      <c r="J23" s="47"/>
    </row>
    <row r="24" spans="1:12" ht="15.6">
      <c r="A24" s="54">
        <v>12</v>
      </c>
      <c r="B24" s="54">
        <v>2</v>
      </c>
      <c r="C24" s="54">
        <v>1</v>
      </c>
      <c r="D24" s="54">
        <v>1</v>
      </c>
      <c r="E24" s="54">
        <v>1</v>
      </c>
      <c r="F24" s="54">
        <v>1</v>
      </c>
      <c r="G24" s="54">
        <v>1</v>
      </c>
      <c r="H24" s="54"/>
      <c r="I24" s="47"/>
      <c r="J24" s="47"/>
    </row>
    <row r="25" spans="1:12" ht="15.6">
      <c r="A25" s="54">
        <v>12</v>
      </c>
      <c r="B25" s="54">
        <v>3</v>
      </c>
      <c r="C25" s="54">
        <v>3</v>
      </c>
      <c r="D25" s="54">
        <v>3</v>
      </c>
      <c r="E25" s="54">
        <v>3</v>
      </c>
      <c r="F25" s="54">
        <v>3</v>
      </c>
      <c r="G25" s="54">
        <v>3</v>
      </c>
      <c r="H25" s="54"/>
      <c r="I25" s="47"/>
      <c r="J25" s="47"/>
    </row>
    <row r="26" spans="1:12" ht="15.6">
      <c r="A26" s="54">
        <v>12</v>
      </c>
      <c r="B26" s="54">
        <v>4</v>
      </c>
      <c r="C26" s="54">
        <v>1</v>
      </c>
      <c r="D26" s="54">
        <v>1</v>
      </c>
      <c r="E26" s="54">
        <v>1</v>
      </c>
      <c r="F26" s="54">
        <v>1</v>
      </c>
      <c r="G26" s="54">
        <v>1</v>
      </c>
      <c r="H26" s="54"/>
      <c r="I26" s="47"/>
      <c r="J26" s="47"/>
    </row>
    <row r="27" spans="1:12" ht="15.6">
      <c r="A27" s="54">
        <v>12</v>
      </c>
      <c r="B27" s="54">
        <v>5</v>
      </c>
      <c r="C27" s="54">
        <v>1</v>
      </c>
      <c r="D27" s="54">
        <v>1</v>
      </c>
      <c r="E27" s="54">
        <v>1</v>
      </c>
      <c r="F27" s="54">
        <v>1</v>
      </c>
      <c r="G27" s="54">
        <v>1</v>
      </c>
      <c r="H27" s="54"/>
      <c r="I27" s="47"/>
      <c r="J27" s="47"/>
      <c r="L27" s="51">
        <v>14</v>
      </c>
    </row>
    <row r="28" spans="1:12" ht="15.6">
      <c r="A28" s="54">
        <v>12</v>
      </c>
      <c r="B28" s="54">
        <v>6</v>
      </c>
      <c r="C28" s="54">
        <v>1</v>
      </c>
      <c r="D28" s="54">
        <v>1</v>
      </c>
      <c r="E28" s="54">
        <v>1</v>
      </c>
      <c r="F28" s="54">
        <v>1</v>
      </c>
      <c r="G28" s="54">
        <v>1</v>
      </c>
      <c r="H28" s="54"/>
      <c r="I28" s="47"/>
      <c r="J28" s="47"/>
    </row>
    <row r="29" spans="1:12" ht="15.6">
      <c r="A29" s="54">
        <v>12</v>
      </c>
      <c r="B29" s="54">
        <v>7</v>
      </c>
      <c r="C29" s="54">
        <v>1</v>
      </c>
      <c r="D29" s="54">
        <v>1</v>
      </c>
      <c r="E29" s="54">
        <v>1</v>
      </c>
      <c r="F29" s="54">
        <v>1</v>
      </c>
      <c r="G29" s="54">
        <v>1</v>
      </c>
      <c r="H29" s="54"/>
      <c r="I29" s="47"/>
      <c r="J29" s="47"/>
    </row>
    <row r="30" spans="1:12" ht="15.6">
      <c r="A30" s="54">
        <v>12</v>
      </c>
      <c r="B30" s="54">
        <v>8</v>
      </c>
      <c r="C30" s="54">
        <v>0</v>
      </c>
      <c r="D30" s="54">
        <v>0</v>
      </c>
      <c r="E30" s="54">
        <v>0</v>
      </c>
      <c r="F30" s="54">
        <v>0</v>
      </c>
      <c r="G30" s="54">
        <v>0</v>
      </c>
      <c r="H30" s="54"/>
      <c r="I30" s="47"/>
      <c r="J30" s="47"/>
    </row>
    <row r="31" spans="1:12" ht="15.6">
      <c r="B31" s="52"/>
      <c r="C31" s="52">
        <f>SUM(C23:C30)</f>
        <v>11</v>
      </c>
      <c r="D31" s="52">
        <f>SUM(D23:D30)</f>
        <v>11</v>
      </c>
      <c r="E31" s="52">
        <f>SUM(E23:E29)</f>
        <v>11</v>
      </c>
      <c r="F31" s="52">
        <f>SUM(F23:F30)</f>
        <v>11</v>
      </c>
      <c r="G31" s="52">
        <f>SUM(G23:G29)</f>
        <v>11</v>
      </c>
      <c r="H31" s="52">
        <f>SUM(H23:H28)</f>
        <v>0</v>
      </c>
      <c r="I31" s="47"/>
      <c r="J31" s="47"/>
    </row>
    <row r="32" spans="1:12" ht="15.6">
      <c r="A32" s="104" t="s">
        <v>42</v>
      </c>
      <c r="B32" s="104"/>
      <c r="C32" s="53">
        <f>C31/L27</f>
        <v>0.7857142857142857</v>
      </c>
      <c r="D32" s="53">
        <f>D31/L27</f>
        <v>0.7857142857142857</v>
      </c>
      <c r="E32" s="53">
        <f>E31/L27</f>
        <v>0.7857142857142857</v>
      </c>
      <c r="F32" s="53">
        <f>F31/L27</f>
        <v>0.7857142857142857</v>
      </c>
      <c r="G32" s="53">
        <f>G31/L27</f>
        <v>0.7857142857142857</v>
      </c>
      <c r="H32" s="52"/>
      <c r="I32" s="47"/>
      <c r="J32" s="47"/>
    </row>
    <row r="33" spans="1:12" ht="15.6">
      <c r="A33" s="56">
        <v>13</v>
      </c>
      <c r="B33" s="56">
        <v>1</v>
      </c>
      <c r="C33" s="56">
        <v>0</v>
      </c>
      <c r="D33" s="56">
        <v>0</v>
      </c>
      <c r="E33" s="56">
        <v>0</v>
      </c>
      <c r="F33" s="56">
        <v>0</v>
      </c>
      <c r="G33" s="56">
        <v>0</v>
      </c>
      <c r="H33" s="56"/>
      <c r="I33" s="47"/>
      <c r="J33" s="47"/>
    </row>
    <row r="34" spans="1:12" ht="15.6">
      <c r="A34" s="56">
        <v>13</v>
      </c>
      <c r="B34" s="56">
        <v>2</v>
      </c>
      <c r="C34" s="56">
        <v>2</v>
      </c>
      <c r="D34" s="56">
        <v>2</v>
      </c>
      <c r="E34" s="56">
        <v>2</v>
      </c>
      <c r="F34" s="56">
        <v>2</v>
      </c>
      <c r="G34" s="56">
        <v>2</v>
      </c>
      <c r="H34" s="56"/>
      <c r="I34" s="47"/>
      <c r="J34" s="47"/>
    </row>
    <row r="35" spans="1:12" ht="15.6">
      <c r="A35" s="56">
        <v>13</v>
      </c>
      <c r="B35" s="56">
        <v>3</v>
      </c>
      <c r="C35" s="56">
        <v>1</v>
      </c>
      <c r="D35" s="56">
        <v>1</v>
      </c>
      <c r="E35" s="56">
        <v>1</v>
      </c>
      <c r="F35" s="56">
        <v>1</v>
      </c>
      <c r="G35" s="56">
        <v>1</v>
      </c>
      <c r="H35" s="56"/>
      <c r="I35" s="47"/>
      <c r="J35" s="47"/>
    </row>
    <row r="36" spans="1:12" ht="15.6">
      <c r="A36" s="56">
        <v>13</v>
      </c>
      <c r="B36" s="56">
        <v>4</v>
      </c>
      <c r="C36" s="56">
        <v>1</v>
      </c>
      <c r="D36" s="56">
        <v>1</v>
      </c>
      <c r="E36" s="56">
        <v>1</v>
      </c>
      <c r="F36" s="56">
        <v>1</v>
      </c>
      <c r="G36" s="56">
        <v>1</v>
      </c>
      <c r="H36" s="56"/>
      <c r="I36" s="47"/>
      <c r="J36" s="47"/>
    </row>
    <row r="37" spans="1:12" ht="15.6">
      <c r="A37" s="56">
        <v>13</v>
      </c>
      <c r="B37" s="56">
        <v>5</v>
      </c>
      <c r="C37" s="56">
        <v>1</v>
      </c>
      <c r="D37" s="56">
        <v>1</v>
      </c>
      <c r="E37" s="56">
        <v>1</v>
      </c>
      <c r="F37" s="56">
        <v>1</v>
      </c>
      <c r="G37" s="56">
        <v>1</v>
      </c>
      <c r="H37" s="56"/>
      <c r="I37" s="47"/>
      <c r="J37" s="47"/>
      <c r="L37" s="51">
        <v>14</v>
      </c>
    </row>
    <row r="38" spans="1:12" ht="15.6">
      <c r="A38" s="56">
        <v>13</v>
      </c>
      <c r="B38" s="56">
        <v>6</v>
      </c>
      <c r="C38" s="56">
        <v>0</v>
      </c>
      <c r="D38" s="56">
        <v>0</v>
      </c>
      <c r="E38" s="56">
        <v>0</v>
      </c>
      <c r="F38" s="56">
        <v>0</v>
      </c>
      <c r="G38" s="56">
        <v>0</v>
      </c>
      <c r="H38" s="56"/>
      <c r="I38" s="47"/>
      <c r="J38" s="47"/>
    </row>
    <row r="39" spans="1:12" ht="15.6">
      <c r="A39" s="56">
        <v>13</v>
      </c>
      <c r="B39" s="56">
        <v>7</v>
      </c>
      <c r="C39" s="56">
        <v>1</v>
      </c>
      <c r="D39" s="56">
        <v>1</v>
      </c>
      <c r="E39" s="56">
        <v>1</v>
      </c>
      <c r="F39" s="56">
        <v>1</v>
      </c>
      <c r="G39" s="56">
        <v>1</v>
      </c>
      <c r="H39" s="56"/>
      <c r="I39" s="47"/>
      <c r="J39" s="47"/>
    </row>
    <row r="40" spans="1:12" ht="15.6">
      <c r="B40" s="52"/>
      <c r="C40" s="52">
        <f>SUM(C33:C39)</f>
        <v>6</v>
      </c>
      <c r="D40" s="52">
        <f>SUM(D33:D39)</f>
        <v>6</v>
      </c>
      <c r="E40" s="52">
        <f>SUM(E33:E39)</f>
        <v>6</v>
      </c>
      <c r="F40" s="52">
        <f>SUM(F33:F39)</f>
        <v>6</v>
      </c>
      <c r="G40" s="52">
        <f>SUM(G33:G39)</f>
        <v>6</v>
      </c>
      <c r="H40" s="52">
        <f>SUM(H33:H39)</f>
        <v>0</v>
      </c>
    </row>
    <row r="41" spans="1:12" ht="15.6">
      <c r="A41" s="104" t="s">
        <v>42</v>
      </c>
      <c r="B41" s="104"/>
      <c r="C41" s="53">
        <f>C40/L37</f>
        <v>0.42857142857142855</v>
      </c>
      <c r="D41" s="53">
        <f>D40/L37</f>
        <v>0.42857142857142855</v>
      </c>
      <c r="E41" s="53">
        <f>E40/L37</f>
        <v>0.42857142857142855</v>
      </c>
      <c r="F41" s="53">
        <f>F40/L37</f>
        <v>0.42857142857142855</v>
      </c>
      <c r="G41" s="53">
        <f>G40/L37</f>
        <v>0.42857142857142855</v>
      </c>
      <c r="H41" s="52"/>
    </row>
  </sheetData>
  <mergeCells count="6">
    <mergeCell ref="A3:A4"/>
    <mergeCell ref="B3:B4"/>
    <mergeCell ref="A22:B22"/>
    <mergeCell ref="A32:B32"/>
    <mergeCell ref="A41:B41"/>
    <mergeCell ref="A12:B12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Gráficos</vt:lpstr>
      </vt:variant>
      <vt:variant>
        <vt:i4>1</vt:i4>
      </vt:variant>
    </vt:vector>
  </HeadingPairs>
  <TitlesOfParts>
    <vt:vector size="5" baseType="lpstr">
      <vt:lpstr>Hoja1</vt:lpstr>
      <vt:lpstr>Paradas Ilpea</vt:lpstr>
      <vt:lpstr>Aforos Ilpea</vt:lpstr>
      <vt:lpstr>Rutas Adm</vt:lpstr>
      <vt:lpstr>Gráfico1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</dc:creator>
  <cp:lastModifiedBy>Sergio Camarillo</cp:lastModifiedBy>
  <cp:lastPrinted>2025-07-06T23:21:24Z</cp:lastPrinted>
  <dcterms:created xsi:type="dcterms:W3CDTF">2019-09-26T00:37:13Z</dcterms:created>
  <dcterms:modified xsi:type="dcterms:W3CDTF">2026-03-19T22:03:52Z</dcterms:modified>
</cp:coreProperties>
</file>